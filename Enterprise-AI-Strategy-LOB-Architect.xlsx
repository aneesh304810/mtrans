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Executive Brief" sheetId="2" state="visible" r:id="rId4"/>
    <sheet name="AI Labs Ask" sheetId="3" state="visible" r:id="rId5"/>
    <sheet name="Maturity Model" sheetId="4" state="visible" r:id="rId6"/>
    <sheet name="Architecture Standards" sheetId="5" state="visible" r:id="rId7"/>
    <sheet name="Evaluation Framework" sheetId="6" state="visible" r:id="rId8"/>
    <sheet name="12-Month Roadmap" sheetId="7" state="visible" r:id="rId9"/>
    <sheet name="Use Case Portfolio" sheetId="8" state="visible" r:id="rId10"/>
  </sheets>
  <definedNames>
    <definedName function="false" hidden="true" localSheetId="7" name="_xlnm._FilterDatabase" vbProcedure="false">'Use Case Portfolio'!$A$4:$L$29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<sst xmlns="http://schemas.openxmlformats.org/spreadsheetml/2006/main" count="1146" uniqueCount="517">
  <si>
    <t xml:space="preserve">Enterprise AI Strategy — LOB Architect Overview</t>
  </si>
  <si>
    <t xml:space="preserve">All counts are live formulas. Navigate via sheet tabs. This brief is the LOB Architecture deliverable to AI Labs leadership.</t>
  </si>
  <si>
    <t xml:space="preserve">«  LOB Architecture owns the demand, standards, and target-state.    AI Labs owns the platform.  »</t>
  </si>
  <si>
    <t xml:space="preserve">Portfolio Snapshot</t>
  </si>
  <si>
    <t xml:space="preserve">Dimension</t>
  </si>
  <si>
    <t xml:space="preserve">Breakdown</t>
  </si>
  <si>
    <t xml:space="preserve">Count</t>
  </si>
  <si>
    <t xml:space="preserve">Total use cases</t>
  </si>
  <si>
    <t xml:space="preserve">All LOBs combined</t>
  </si>
  <si>
    <t xml:space="preserve">Tier 1 (propose-only)</t>
  </si>
  <si>
    <t xml:space="preserve">Client money, tax, fiduciary</t>
  </si>
  <si>
    <t xml:space="preserve">Tier 2 (execute w/ approval)</t>
  </si>
  <si>
    <t xml:space="preserve">Client-facing, regulated</t>
  </si>
  <si>
    <t xml:space="preserve">Tier 3 (sampled review)</t>
  </si>
  <si>
    <t xml:space="preserve">Internal productivity</t>
  </si>
  <si>
    <t xml:space="preserve">Knowledge &amp; RAG platform</t>
  </si>
  <si>
    <t xml:space="preserve">Primary platform</t>
  </si>
  <si>
    <t xml:space="preserve">Document Intelligence platform</t>
  </si>
  <si>
    <t xml:space="preserve">Workflow Agent platform</t>
  </si>
  <si>
    <t xml:space="preserve">HITL Required</t>
  </si>
  <si>
    <t xml:space="preserve">Mandatory human gate</t>
  </si>
  <si>
    <t xml:space="preserve">Wave 1 (0–3 mo)</t>
  </si>
  <si>
    <t xml:space="preserve">Foundation use cases</t>
  </si>
  <si>
    <t xml:space="preserve">Wave 2 (3–6 mo)</t>
  </si>
  <si>
    <t xml:space="preserve">Platform scale</t>
  </si>
  <si>
    <t xml:space="preserve">Wave 3 (6–12 mo)</t>
  </si>
  <si>
    <t xml:space="preserve">Regulated &amp; sensitive</t>
  </si>
  <si>
    <t xml:space="preserve">Wave 4 (12+ mo)</t>
  </si>
  <si>
    <t xml:space="preserve">Fiduciary &amp; funding</t>
  </si>
  <si>
    <t xml:space="preserve">Brief Contents — Navigation</t>
  </si>
  <si>
    <t xml:space="preserve">Sheet</t>
  </si>
  <si>
    <t xml:space="preserve">Contains</t>
  </si>
  <si>
    <t xml:space="preserve">Primary audience</t>
  </si>
  <si>
    <t xml:space="preserve">Executive Brief</t>
  </si>
  <si>
    <t xml:space="preserve">Positioning statement, ownership model, five deliverables, four platforms, success definition</t>
  </si>
  <si>
    <t xml:space="preserve">AI Labs leadership, CTO/CDO</t>
  </si>
  <si>
    <t xml:space="preserve">AI Labs Ask</t>
  </si>
  <si>
    <t xml:space="preserve">Eight Phase 1 foundation services + four platform builds with acceptance criteria</t>
  </si>
  <si>
    <t xml:space="preserve">AI Labs engineering leads</t>
  </si>
  <si>
    <t xml:space="preserve">Maturity Model</t>
  </si>
  <si>
    <t xml:space="preserve">Five-level CMM with capabilities, diagnostic questions, and per-use-case maturity targets</t>
  </si>
  <si>
    <t xml:space="preserve">Architecture review board, risk</t>
  </si>
  <si>
    <t xml:space="preserve">Architecture Standards</t>
  </si>
  <si>
    <t xml:space="preserve">Four published standards (Traceability, Explainability, Security, HITL) + compliance matrix</t>
  </si>
  <si>
    <t xml:space="preserve">Every LOB delivery team</t>
  </si>
  <si>
    <t xml:space="preserve">Evaluation Framework</t>
  </si>
  <si>
    <t xml:space="preserve">Six metric categories, release gate checklist, accountability mapping</t>
  </si>
  <si>
    <t xml:space="preserve">AI Labs + LOB Architecture jointly</t>
  </si>
  <si>
    <t xml:space="preserve">12-Month Roadmap</t>
  </si>
  <si>
    <t xml:space="preserve">Quarterly AI Labs and LOB Architecture deliverables with exit criteria</t>
  </si>
  <si>
    <t xml:space="preserve">Program management, AI Labs</t>
  </si>
  <si>
    <t xml:space="preserve">Use Case Portfolio</t>
  </si>
  <si>
    <t xml:space="preserve">All 25 use cases × platform × tier × maturity × standards × wave (filterable)</t>
  </si>
  <si>
    <t xml:space="preserve">LOB Architecture, AI Labs backlog</t>
  </si>
  <si>
    <t xml:space="preserve">LOB Architecture — Enterprise AI Strategy Brief</t>
  </si>
  <si>
    <t xml:space="preserve">Deliverable of the LOB Architect to AI Labs Leadership. Defines the demand, standards, and target-state architecture.</t>
  </si>
  <si>
    <t xml:space="preserve">"I am not looking for 25 AI solutions. I am looking for an enterprise AI capability.
Build four reusable platform services — Knowledge &amp; RAG, Document Intelligence, Workflow Agent, and Predictive Intelligence. Every use case must be mapped to one of these patterns.
Success is not measured by chatbot count. Success is measured by reuse, governance, auditability, and speed to onboard the next use case."
— LOB Architect to AI Labs Leadership</t>
  </si>
  <si>
    <t xml:space="preserve">Ownership Model</t>
  </si>
  <si>
    <t xml:space="preserve">Owner</t>
  </si>
  <si>
    <t xml:space="preserve">Accountable For</t>
  </si>
  <si>
    <t xml:space="preserve">NOT Accountable For</t>
  </si>
  <si>
    <t xml:space="preserve">AI Labs</t>
  </si>
  <si>
    <t xml:space="preserve">Platform services, shared infrastructure, reusable components, model operations, security controls.</t>
  </si>
  <si>
    <t xml:space="preserve">Business logic per use case, LOB-specific evaluations, domain standards, demand prioritization.</t>
  </si>
  <si>
    <t xml:space="preserve">LOB Architecture</t>
  </si>
  <si>
    <t xml:space="preserve">Demand definition, architecture standards, target-state design, evaluation criteria, use-case patterns, MRM obligations.</t>
  </si>
  <si>
    <t xml:space="preserve">Platform engineering, model hosting, shared infrastructure build.</t>
  </si>
  <si>
    <t xml:space="preserve">LOB Delivery Teams</t>
  </si>
  <si>
    <t xml:space="preserve">Use-case configuration on the platform, domain SME input, golden-set curation, user adoption.</t>
  </si>
  <si>
    <t xml:space="preserve">Re-building what the platform already provides.</t>
  </si>
  <si>
    <t xml:space="preserve">This Brief Defines Five Deliverables</t>
  </si>
  <si>
    <t xml:space="preserve">#</t>
  </si>
  <si>
    <t xml:space="preserve">Deliverable</t>
  </si>
  <si>
    <t xml:space="preserve">Drives</t>
  </si>
  <si>
    <t xml:space="preserve">1</t>
  </si>
  <si>
    <t xml:space="preserve">What AI Labs must build (Phase 1 foundation + four platforms)</t>
  </si>
  <si>
    <t xml:space="preserve">LOB Architecture → AI Labs</t>
  </si>
  <si>
    <t xml:space="preserve">Every use case is unblocked</t>
  </si>
  <si>
    <t xml:space="preserve">2</t>
  </si>
  <si>
    <t xml:space="preserve">Capability Maturity Model (5 levels) — target state per use case</t>
  </si>
  <si>
    <t xml:space="preserve">MRM validation, governance, investment case</t>
  </si>
  <si>
    <t xml:space="preserve">3</t>
  </si>
  <si>
    <t xml:space="preserve">Architecture standards every AI solution must meet</t>
  </si>
  <si>
    <t xml:space="preserve">LOB Architecture (published)</t>
  </si>
  <si>
    <t xml:space="preserve">Compliance gate for any production deployment</t>
  </si>
  <si>
    <t xml:space="preserve">4</t>
  </si>
  <si>
    <t xml:space="preserve">Evaluation framework — what 'shipped' means</t>
  </si>
  <si>
    <t xml:space="preserve">CI/CD gates, release criteria, ongoing monitoring</t>
  </si>
  <si>
    <t xml:space="preserve">5</t>
  </si>
  <si>
    <t xml:space="preserve">Use-case portfolio mapped to platforms, tiers, waves</t>
  </si>
  <si>
    <t xml:space="preserve">AI Labs backlog, sequencing, reuse targets</t>
  </si>
  <si>
    <t xml:space="preserve">The Four Platform Services AI Labs Must Deliver</t>
  </si>
  <si>
    <t xml:space="preserve">Platform</t>
  </si>
  <si>
    <t xml:space="preserve">Core capability</t>
  </si>
  <si>
    <t xml:space="preserve">Primary consumers</t>
  </si>
  <si>
    <t xml:space="preserve">Target reuse (12 mo)</t>
  </si>
  <si>
    <t xml:space="preserve">Knowledge &amp; RAG Platform</t>
  </si>
  <si>
    <t xml:space="preserve">Entitlement-aware hybrid retrieval, citation service, knowledge graph, freshness pipelines.</t>
  </si>
  <si>
    <t xml:space="preserve">Investor query copilot, virtual assistant, CPMS, trust synoptic, research aggregation</t>
  </si>
  <si>
    <t xml:space="preserve">≥10 use cases</t>
  </si>
  <si>
    <t xml:space="preserve">Document Intelligence Platform</t>
  </si>
  <si>
    <t xml:space="preserve">Multi-format parsing, per-type extraction schemas, field-confidence scoring, HITL queue.</t>
  </si>
  <si>
    <t xml:space="preserve">Term sheet-to-booking, spreading, covenant monitor, K-1, ADR tax, N-2 screener, harmonization</t>
  </si>
  <si>
    <t xml:space="preserve">≥8 use cases</t>
  </si>
  <si>
    <t xml:space="preserve">Workflow Agent Platform</t>
  </si>
  <si>
    <t xml:space="preserve">Workflow engine, tool registry, memory service, approval gates, agent orchestration.</t>
  </si>
  <si>
    <t xml:space="preserve">Collections, pipeline ops, fiduciary calendar, policy conformance, KYC disposition</t>
  </si>
  <si>
    <t xml:space="preserve">≥6 use cases</t>
  </si>
  <si>
    <t xml:space="preserve">Predictive Intelligence Platform</t>
  </si>
  <si>
    <t xml:space="preserve">Classical ML model serving, feature store, MRM-validated scoring pipelines, ensemble serving.</t>
  </si>
  <si>
    <t xml:space="preserve">Collections scoring, covenant breach probability, fee deviation anomalies</t>
  </si>
  <si>
    <t xml:space="preserve">≥3 use cases</t>
  </si>
  <si>
    <t xml:space="preserve">How Success Is Measured (Not Chatbot Count)</t>
  </si>
  <si>
    <t xml:space="preserve">Metric</t>
  </si>
  <si>
    <t xml:space="preserve">Target at 12 months</t>
  </si>
  <si>
    <t xml:space="preserve">Measured how</t>
  </si>
  <si>
    <t xml:space="preserve">Platform reuse</t>
  </si>
  <si>
    <t xml:space="preserve">≥15 of 25 use cases running on shared platform services, not bespoke builds</t>
  </si>
  <si>
    <t xml:space="preserve">Deployment registry count</t>
  </si>
  <si>
    <t xml:space="preserve">Speed to second use case</t>
  </si>
  <si>
    <t xml:space="preserve">New use case in an established archetype onboards in ≤4 weeks</t>
  </si>
  <si>
    <t xml:space="preserve">Time from intake to production</t>
  </si>
  <si>
    <t xml:space="preserve">Eval coverage</t>
  </si>
  <si>
    <t xml:space="preserve">100% of Tier-1/2 use cases have a golden test set and CI eval gate before production</t>
  </si>
  <si>
    <t xml:space="preserve">Eval registry</t>
  </si>
  <si>
    <t xml:space="preserve">Audit readiness</t>
  </si>
  <si>
    <t xml:space="preserve">Any Tier-1/2 output reproducible on demand for examiners within 1 business day</t>
  </si>
  <si>
    <t xml:space="preserve">Audit store spot-test</t>
  </si>
  <si>
    <t xml:space="preserve">Governance</t>
  </si>
  <si>
    <t xml:space="preserve">Zero Tier-1 outputs released without maker-checker; zero unregistered production AI systems</t>
  </si>
  <si>
    <t xml:space="preserve">Registry completeness; HITL log</t>
  </si>
  <si>
    <t xml:space="preserve">Cost per outcome</t>
  </si>
  <si>
    <t xml:space="preserve">Cost per resolved task tracked per use case; total AI spend under approved budget</t>
  </si>
  <si>
    <t xml:space="preserve">Gateway FinOps dashboard</t>
  </si>
  <si>
    <t xml:space="preserve">What LOB Architecture Asks AI Labs to Build</t>
  </si>
  <si>
    <t xml:space="preserve">Two-part ask: Phase 1 Foundation (mandatory preconditions) + Four Platform Services (the target architecture).</t>
  </si>
  <si>
    <t xml:space="preserve">Part A — Phase 1 Foundation: Eight Mandatory Services</t>
  </si>
  <si>
    <t xml:space="preserve">Every use case inherits these. Without them, teams build demos, not enterprise solutions. These must be live before any LOB Tier-1 or Tier-2 use case reaches production.</t>
  </si>
  <si>
    <t xml:space="preserve">Service</t>
  </si>
  <si>
    <t xml:space="preserve">What it must provide</t>
  </si>
  <si>
    <t xml:space="preserve">Acceptance criteria (LOB Architecture will test)</t>
  </si>
  <si>
    <t xml:space="preserve">Consumed by</t>
  </si>
  <si>
    <t xml:space="preserve">Wave</t>
  </si>
  <si>
    <t xml:space="preserve">AI Gateway</t>
  </si>
  <si>
    <t xml:space="preserve">Routing across providers; per-request data-classification enforcement (restricted→self-hosted, confidential→VPC, internal→SaaS); auth/authz; cost budgets per use case; rate limiting; kill switch per use case; fallback to deterministic path.</t>
  </si>
  <si>
    <t xml:space="preserve">1) Route a confidential payload — verify it never leaves the VPC endpoint. 2) Disable a use case gateway in &lt;60s. 3) Budget breach exits gracefully with partial result, not exception.</t>
  </si>
  <si>
    <t xml:space="preserve">All</t>
  </si>
  <si>
    <t xml:space="preserve">W1</t>
  </si>
  <si>
    <t xml:space="preserve">Prompt Registry</t>
  </si>
  <si>
    <t xml:space="preserve">Version-controlled storage of every system prompt, template, and rubric; semantic diff between versions; tag with use-case, model, eval results, and approver; read-only in production (no live edits).</t>
  </si>
  <si>
    <t xml:space="preserve">1) Roll back a prompt to any prior version in &lt;5 min. 2) CI prevents a prompt with failing eval from reaching production. 3) Audit log shows who changed what and when.</t>
  </si>
  <si>
    <t xml:space="preserve">Model Registry</t>
  </si>
  <si>
    <t xml:space="preserve">Inventory of every model, fine-tune, and embedding model in use; version pinning; model card storage; deprecation notice workflow; links to validation evidence.</t>
  </si>
  <si>
    <t xml:space="preserve">1) Enumerate all models in production in one API call. 2) Model upgrade blocked without updated eval results. 3) Deprecated model emits alert 30 days prior.</t>
  </si>
  <si>
    <t xml:space="preserve">Audit &amp; Trace Store</t>
  </si>
  <si>
    <t xml:space="preserve">WORM-quality immutable capture per request: prompt (all versions), retrieved document spans, tool calls, model+version, parameters, output, human approval identity. Replayable by use-case and request ID. Retention per data class.</t>
  </si>
  <si>
    <t xml:space="preserve">1) Replay any production request end-to-end within 1 business day on demand. 2) Tamper-evident verification passes. 3) PII in traces encrypted at field level.</t>
  </si>
  <si>
    <t xml:space="preserve">Vector &amp; Knowledge Platform</t>
  </si>
  <si>
    <t xml:space="preserve">Hosted vector store with entitlement filtering at query time (not post-filter); hybrid retrieval (dense + BM25); reranking; citation span extraction; freshness monitoring; incremental re-index via CDC. Multi-corpus support.</t>
  </si>
  <si>
    <t xml:space="preserve">1) Query with a user token — verify results respect deal/fund/client access boundaries. 2) CDC re-index completes within freshness SLA. 3) Deleted document cannot be retrieved post-propagation.</t>
  </si>
  <si>
    <t xml:space="preserve">A4, A5, A6 archetypes</t>
  </si>
  <si>
    <t xml:space="preserve">Document Processing Service</t>
  </si>
  <si>
    <t xml:space="preserve">Multi-format parsing (PDF, Word, Excel, SWIFT, XML); per-document-type extraction schemas; field-level confidence scoring; HITL queue API (park/approve/reject/expire); pending-state write protocol to systems of record.</t>
  </si>
  <si>
    <t xml:space="preserve">1) Extract a structured object from a novel document type — confidence scores present on every field. 2) Below-threshold field routes to human queue with source span. 3) HITL approval identity logged to audit store.</t>
  </si>
  <si>
    <t xml:space="preserve">A1, A2, A3 archetypes</t>
  </si>
  <si>
    <t xml:space="preserve">W2</t>
  </si>
  <si>
    <t xml:space="preserve">Golden-set management (versioned, per use case); rubric execution engine; LLM-as-judge with calibration tracking; trajectory eval for agents; CI gate integration; production sampling pipeline; hallucination and groundedness metrics.</t>
  </si>
  <si>
    <t xml:space="preserve">1) A prompt change is blocked by CI if golden-set score drops below threshold. 2) Judge agreement vs. human baseline ≥ 85% on a calibration sample. 3) Eval results linked to the prompt and model version that produced them.</t>
  </si>
  <si>
    <t xml:space="preserve">Security Controls Layer</t>
  </si>
  <si>
    <t xml:space="preserve">Input classification and PII detection/redaction before model; injection pattern detection; output content policy filter; second PII scan on output; per-tool RBAC with scoped credentials; entitlement propagation service.</t>
  </si>
  <si>
    <t xml:space="preserve">1) Inject a prompt-injection payload in a retrieved document — verify it does not execute as an instruction. 2) PII redaction recall ≥ 95% on test set. 3) Tool call by an agent presents scoped credential, not platform super-user.</t>
  </si>
  <si>
    <t xml:space="preserve">Part B — Four Platform Services: The Target Architecture</t>
  </si>
  <si>
    <t xml:space="preserve">Reusable components AI Labs must deliver</t>
  </si>
  <si>
    <t xml:space="preserve">What LOB Architecture will configure per use case</t>
  </si>
  <si>
    <t xml:space="preserve">12-month reuse target</t>
  </si>
  <si>
    <t xml:space="preserve">1) Multi-corpus retrieval API (entitlement-aware, hybrid, reranked)
2) Citation service (span extraction + confidence)
3) Knowledge graph connector
4) Corpus ingestion pipeline (with CDC)
5) Freshness SLA monitor
6) Query rewriting service</t>
  </si>
  <si>
    <t xml:space="preserve">Approved source list; entitlement mapping per corpus; chunking strategy per document type; abstention threshold; citation format template; freshness SLA per corpus.</t>
  </si>
  <si>
    <t xml:space="preserve">≥10 use cases on shared retrieval infrastructure</t>
  </si>
  <si>
    <t xml:space="preserve">1) Multi-format parser
2) Per-type schema library (extensible by LOB)
3) Field-confidence scorer
4) HITL queue with evidence display
5) Pending-write protocol adapter
6) Extraction golden-set runner</t>
  </si>
  <si>
    <t xml:space="preserve">Schema definition per document type; confidence thresholds; human queue routing rules; system-of-record write mapping; extraction eval set.</t>
  </si>
  <si>
    <t xml:space="preserve">≥8 use cases on shared extraction infrastructure</t>
  </si>
  <si>
    <t xml:space="preserve">1) Workflow engine (plan-then-execute + ReAct)
2) Tool registry (MCP-compatible)
3) Memory service (per-entity store, pinned facts, CDC ingestion)
4) Maker-checker approval service
5) Agent trace viewer
6) Budget enforcer (iterations, tokens, cost, wall-clock)</t>
  </si>
  <si>
    <t xml:space="preserve">Tool definitions per use case; autonomy tier; approval routing; budget parameters; memory write policy; escalation rules.</t>
  </si>
  <si>
    <t xml:space="preserve">≥6 use cases on shared agent infrastructure</t>
  </si>
  <si>
    <t xml:space="preserve">1) Classical ML model serving (MRM-registered)
2) Feature store with lineage
3) Ensemble/cascade controller
4) Model performance monitor
5) Explainability layer (SHAP/LIME)
6) Drift detection</t>
  </si>
  <si>
    <t xml:space="preserve">Feature definitions; model validation evidence; monitoring thresholds; explainability format; MRM documentation template.</t>
  </si>
  <si>
    <t xml:space="preserve">≥3 use cases on shared ML serving infrastructure</t>
  </si>
  <si>
    <t xml:space="preserve">Capability Maturity Model — Five Levels</t>
  </si>
  <si>
    <t xml:space="preserve">LOB Architecture sets the target level per use case. AI Labs must demonstrate platform capability at that level before production sign-off.</t>
  </si>
  <si>
    <t xml:space="preserve">L1 — POC</t>
  </si>
  <si>
    <t xml:space="preserve">Typical today — value demonstrated, not governed.</t>
  </si>
  <si>
    <t xml:space="preserve">Capabilities required</t>
  </si>
  <si>
    <t xml:space="preserve">Diagnostic questions (must answer YES)</t>
  </si>
  <si>
    <t xml:space="preserve">Production gate</t>
  </si>
  <si>
    <t xml:space="preserve">•  Chatbot or single prompt</t>
  </si>
  <si>
    <t xml:space="preserve">✓  Does it work at all?</t>
  </si>
  <si>
    <t xml:space="preserve">Internal demo only. Not eligible for production data or client interaction.</t>
  </si>
  <si>
    <t xml:space="preserve">•  Single model, no versioning</t>
  </si>
  <si>
    <t xml:space="preserve">✓  Can users see potential value?</t>
  </si>
  <si>
    <t xml:space="preserve">•  Manual testing</t>
  </si>
  <si>
    <t xml:space="preserve">•  No citations or traceability</t>
  </si>
  <si>
    <t xml:space="preserve">•  No human-approval workflow</t>
  </si>
  <si>
    <t xml:space="preserve">L2 — Production Ready</t>
  </si>
  <si>
    <t xml:space="preserve">Trustworthy and explainable. Minimum bar for any LOB Tier-2/3 use case touching real data.</t>
  </si>
  <si>
    <t xml:space="preserve">•  RAG with citations</t>
  </si>
  <si>
    <t xml:space="preserve">✓  Is it trustworthy?</t>
  </si>
  <si>
    <t xml:space="preserve">Required for production deployment. Prerequisite for any client-facing or data-touching use case.</t>
  </si>
  <si>
    <t xml:space="preserve">•  Prompt versioning</t>
  </si>
  <si>
    <t xml:space="preserve">✓  Is it explainable to a user?</t>
  </si>
  <si>
    <t xml:space="preserve">•  Human approval workflow</t>
  </si>
  <si>
    <t xml:space="preserve">✓  Can a reviewer reproduce its answer?</t>
  </si>
  <si>
    <t xml:space="preserve">•  Audit log (request + output)</t>
  </si>
  <si>
    <t xml:space="preserve">•  Basic eval golden set (≥30 cases)</t>
  </si>
  <si>
    <t xml:space="preserve">•  PII controls</t>
  </si>
  <si>
    <t xml:space="preserve">L3 — Enterprise Platform</t>
  </si>
  <si>
    <t xml:space="preserve">Scalable and operable. Required for Tier-2 use cases and any system with &gt;1 LOB consumer.</t>
  </si>
  <si>
    <t xml:space="preserve">•  Model gateway with routing and fallback</t>
  </si>
  <si>
    <t xml:space="preserve">✓  Can 20 use cases reuse this?</t>
  </si>
  <si>
    <t xml:space="preserve">Required for shared platform services and any high-volume Tier-2 use case.</t>
  </si>
  <si>
    <t xml:space="preserve">•  Multi-model / provider abstraction</t>
  </si>
  <si>
    <t xml:space="preserve">✓  Can we operate it overnight without an engineer on call?</t>
  </si>
  <si>
    <t xml:space="preserve">•  Full observability (traces, latency, cost)</t>
  </si>
  <si>
    <t xml:space="preserve">✓  Can we onboard the next use case in weeks?</t>
  </si>
  <si>
    <t xml:space="preserve">•  Evaluation framework with CI gates</t>
  </si>
  <si>
    <t xml:space="preserve">•  Cost-per-outcome tracking</t>
  </si>
  <si>
    <t xml:space="preserve">•  Guardrails (input + output)</t>
  </si>
  <si>
    <t xml:space="preserve">•  Security controls layer</t>
  </si>
  <si>
    <t xml:space="preserve">L4 — Agentic Platform</t>
  </si>
  <si>
    <t xml:space="preserve">AI performs work, not just answers questions. Required for Tier-2 agentic use cases (agents, copilots, workflow automation).</t>
  </si>
  <si>
    <t xml:space="preserve">•  Workflow engine (plan-then-execute, ReAct)</t>
  </si>
  <si>
    <t xml:space="preserve">✓  Can AI complete a multi-step regulated task?</t>
  </si>
  <si>
    <t xml:space="preserve">Required for any use case where the AI takes actions (not just produces drafts).</t>
  </si>
  <si>
    <t xml:space="preserve">•  Tool registry with scoped credentials</t>
  </si>
  <si>
    <t xml:space="preserve">✓  Is every action authorized, logged, and reversible or gated?</t>
  </si>
  <si>
    <t xml:space="preserve">•  Memory service (short + long term)</t>
  </si>
  <si>
    <t xml:space="preserve">✓  Can the agent be stopped cleanly mid-task?</t>
  </si>
  <si>
    <t xml:space="preserve">•  Maker-checker approval service</t>
  </si>
  <si>
    <t xml:space="preserve">•  Budget enforcer (iterations / tokens / cost / time)</t>
  </si>
  <si>
    <t xml:space="preserve">•  Agent trajectory evals</t>
  </si>
  <si>
    <t xml:space="preserve">•  Full HITL gate infrastructure</t>
  </si>
  <si>
    <t xml:space="preserve">L5 — AI Operating Model</t>
  </si>
  <si>
    <t xml:space="preserve">The bank can scale to hundreds of AI use cases safely. LOB Architecture and AI Labs operate as a platform discipline.</t>
  </si>
  <si>
    <t xml:space="preserve">•  Governance &amp; MRM framework</t>
  </si>
  <si>
    <t xml:space="preserve">✓  Can the bank sustain and grow the portfolio without heroics?</t>
  </si>
  <si>
    <t xml:space="preserve">Organizational maturity, not just technical. Target state for the program at 18–24 months.</t>
  </si>
  <si>
    <t xml:space="preserve">•  Portfolio management (intake, tiering, registry)</t>
  </si>
  <si>
    <t xml:space="preserve">✓  Is every AI system governed, reviewed, and visible to risk?</t>
  </si>
  <si>
    <t xml:space="preserve">•  Chargeback / FinOps by LOB</t>
  </si>
  <si>
    <t xml:space="preserve">✓  Are costs allocated to the LOBs consuming them?</t>
  </si>
  <si>
    <t xml:space="preserve">•  Pattern library (build once, reuse)</t>
  </si>
  <si>
    <t xml:space="preserve">•  Risk controls as platform services</t>
  </si>
  <si>
    <t xml:space="preserve">•  LOB Architecture standards enforced in CI</t>
  </si>
  <si>
    <t xml:space="preserve">Use Case Maturity Targets  (LOB Architecture sets; AI Labs must demonstrate)</t>
  </si>
  <si>
    <t xml:space="preserve">LOB</t>
  </si>
  <si>
    <t xml:space="preserve">Use Case</t>
  </si>
  <si>
    <t xml:space="preserve">Risk Tier</t>
  </si>
  <si>
    <t xml:space="preserve">Current</t>
  </si>
  <si>
    <t xml:space="preserve">Target</t>
  </si>
  <si>
    <t xml:space="preserve">Key gaps to reach target</t>
  </si>
  <si>
    <t xml:space="preserve">CAB</t>
  </si>
  <si>
    <t xml:space="preserve">Term sheet-to-booking</t>
  </si>
  <si>
    <t xml:space="preserve">T1</t>
  </si>
  <si>
    <t xml:space="preserve">L1</t>
  </si>
  <si>
    <t xml:space="preserve">L4</t>
  </si>
  <si>
    <t xml:space="preserve">HITL maker-checker + booking-rule validators + deterministic completeness engine</t>
  </si>
  <si>
    <t xml:space="preserve">Financial spreading</t>
  </si>
  <si>
    <t xml:space="preserve">T2</t>
  </si>
  <si>
    <t xml:space="preserve">L3</t>
  </si>
  <si>
    <t xml:space="preserve">Ratio computation engine (deterministic) + spread template + commentary rubric</t>
  </si>
  <si>
    <t xml:space="preserve">Collections prioritization</t>
  </si>
  <si>
    <t xml:space="preserve">MRM-validated scoring model + approved script playbook + fair-treatment eval</t>
  </si>
  <si>
    <t xml:space="preserve">Credit Alt</t>
  </si>
  <si>
    <t xml:space="preserve">Virtual assistant - inv mgmt</t>
  </si>
  <si>
    <t xml:space="preserve">Deal-level entitlement enforcement in retrieval + abstention on unanswered</t>
  </si>
  <si>
    <t xml:space="preserve">Covenant monitor</t>
  </si>
  <si>
    <t xml:space="preserve">Two-phase: extraction HITL + deterministic monitoring engine + exception dashboard</t>
  </si>
  <si>
    <t xml:space="preserve">Automated transaction tagging</t>
  </si>
  <si>
    <t xml:space="preserve">Confidence-scored extraction + sampled QC pipeline + gated DB writes</t>
  </si>
  <si>
    <t xml:space="preserve">FI</t>
  </si>
  <si>
    <t xml:space="preserve">Irish ADR tax reclaim</t>
  </si>
  <si>
    <t xml:space="preserve">Eligibility and amount computation in code + tax-authority format validators</t>
  </si>
  <si>
    <t xml:space="preserve">N-2 Universe Builder</t>
  </si>
  <si>
    <t xml:space="preserve">T3</t>
  </si>
  <si>
    <t xml:space="preserve">Deterministic pre-filter pipeline + evidence-linked classification log</t>
  </si>
  <si>
    <t xml:space="preserve">Funds</t>
  </si>
  <si>
    <t xml:space="preserve">K-1 drafting</t>
  </si>
  <si>
    <t xml:space="preserve">System-of-record figure sourcing + template conformance rubric + maker-checker</t>
  </si>
  <si>
    <t xml:space="preserve">Investor query copilot</t>
  </si>
  <si>
    <t xml:space="preserve">Fund-level entitlements + citation-or-silence + draft response workflow</t>
  </si>
  <si>
    <t xml:space="preserve">IRG</t>
  </si>
  <si>
    <t xml:space="preserve">Manager KPI benchmarker</t>
  </si>
  <si>
    <t xml:space="preserve">KPI normalization rules + peer-benchmark stats + outlier threshold config</t>
  </si>
  <si>
    <t xml:space="preserve">CPMS search enhancement</t>
  </si>
  <si>
    <t xml:space="preserve">L2</t>
  </si>
  <si>
    <t xml:space="preserve">Hybrid retrieval + query rewriting over CPMS schema</t>
  </si>
  <si>
    <t xml:space="preserve">MFO</t>
  </si>
  <si>
    <t xml:space="preserve">MFO daily reporting</t>
  </si>
  <si>
    <t xml:space="preserve">System-sourced figures + approved recommendation playbook</t>
  </si>
  <si>
    <t xml:space="preserve">Charitable giving optimizer</t>
  </si>
  <si>
    <t xml:space="preserve">Tax-benefit calculation engine + scenario framing (not advice) rubric</t>
  </si>
  <si>
    <t xml:space="preserve">Relationship memory engine</t>
  </si>
  <si>
    <t xml:space="preserve">CDC ingestion from CRM + pinned-facts pattern + PII retention/deletion governance</t>
  </si>
  <si>
    <t xml:space="preserve">Ops</t>
  </si>
  <si>
    <t xml:space="preserve">Policy conformance checker</t>
  </si>
  <si>
    <t xml:space="preserve">Coverage-mapping rules + redline rubric + owner accept/reject workflow</t>
  </si>
  <si>
    <t xml:space="preserve">Meeting notetaker</t>
  </si>
  <si>
    <t xml:space="preserve">Transcription service + consent/retention governance</t>
  </si>
  <si>
    <t xml:space="preserve">SDLC docs</t>
  </si>
  <si>
    <t xml:space="preserve">Section-by-section chaining + template skeleton + SDLC review ownership</t>
  </si>
  <si>
    <t xml:space="preserve">PE</t>
  </si>
  <si>
    <t xml:space="preserve">IC memo drafting</t>
  </si>
  <si>
    <t xml:space="preserve">Deal-room RAG + assertion traceability rubric + IC template conditioning</t>
  </si>
  <si>
    <t xml:space="preserve">Industry landscape sections</t>
  </si>
  <si>
    <t xml:space="preserve">Approved-source corpus + footnote-per-figure rubric + licensing governance</t>
  </si>
  <si>
    <t xml:space="preserve">Pub Eq</t>
  </si>
  <si>
    <t xml:space="preserve">Client review harmonization</t>
  </si>
  <si>
    <t xml:space="preserve">Schema-per-source extraction + constraint/exposure NER + analyst review flags</t>
  </si>
  <si>
    <t xml:space="preserve">Research aggregation</t>
  </si>
  <si>
    <t xml:space="preserve">Source whitelist + per-ticker context store + freshness SLA</t>
  </si>
  <si>
    <t xml:space="preserve">Trust Co</t>
  </si>
  <si>
    <t xml:space="preserve">Fee schedule compliance</t>
  </si>
  <si>
    <t xml:space="preserve">Schedule extraction (one-time, verified) + deterministic fee comparison in code</t>
  </si>
  <si>
    <t xml:space="preserve">Trust synoptic</t>
  </si>
  <si>
    <t xml:space="preserve">Multi-corpus retrieval + verifier chain on every permissibility claim + counsel review gate</t>
  </si>
  <si>
    <t xml:space="preserve">Fiduciary calendar</t>
  </si>
  <si>
    <t xml:space="preserve">Statutory rules table (source of truth) + document cross-check + discrepancy flag</t>
  </si>
  <si>
    <t xml:space="preserve">Architecture Standards — LOB Architecture Published Requirements</t>
  </si>
  <si>
    <t xml:space="preserve">Every AI solution deployed into production must satisfy these standards. No exceptions. Compliance is verified at the architecture review gate.</t>
  </si>
  <si>
    <t xml:space="preserve">STANDARD T — TRACEABILITY</t>
  </si>
  <si>
    <t xml:space="preserve">Every AI output must carry a complete, replayable evidence chain from question to answer.</t>
  </si>
  <si>
    <t xml:space="preserve">Requirement</t>
  </si>
  <si>
    <t xml:space="preserve">Specification</t>
  </si>
  <si>
    <t xml:space="preserve">Question / user input</t>
  </si>
  <si>
    <t xml:space="preserve">Verbatim input stored, not paraphrased, with timestamp and user identity.</t>
  </si>
  <si>
    <t xml:space="preserve">Retrieved documents</t>
  </si>
  <si>
    <t xml:space="preserve">All documents retrieved: source system, document ID, version, chunk span, similarity score.</t>
  </si>
  <si>
    <t xml:space="preserve">Model &amp; version</t>
  </si>
  <si>
    <t xml:space="preserve">Model identifier, exact version/snapshot, inference parameters (temperature, max tokens).</t>
  </si>
  <si>
    <t xml:space="preserve">Prompt &amp; version</t>
  </si>
  <si>
    <t xml:space="preserve">Prompt ID and version from the Prompt Registry; no production output from an unregistered prompt.</t>
  </si>
  <si>
    <t xml:space="preserve">Output</t>
  </si>
  <si>
    <t xml:space="preserve">Verbatim model output, not a post-processed summary.</t>
  </si>
  <si>
    <t xml:space="preserve">Human approval</t>
  </si>
  <si>
    <t xml:space="preserve">Approver identity, timestamp, and decision (approved / rejected / modified) where HITL is required.</t>
  </si>
  <si>
    <t xml:space="preserve">Replayability SLA</t>
  </si>
  <si>
    <t xml:space="preserve">Any Tier-1/2 output reproducible on demand within 1 business day.</t>
  </si>
  <si>
    <t xml:space="preserve">Applies to</t>
  </si>
  <si>
    <t xml:space="preserve">All use cases, all tiers.</t>
  </si>
  <si>
    <t xml:space="preserve">Exemptions</t>
  </si>
  <si>
    <t xml:space="preserve">None.</t>
  </si>
  <si>
    <t xml:space="preserve">STANDARD E — EXPLAINABILITY</t>
  </si>
  <si>
    <t xml:space="preserve">Every answer must show its source, its citation, and its confidence. Critical domains admit no black-box outputs.</t>
  </si>
  <si>
    <t xml:space="preserve">Source citation</t>
  </si>
  <si>
    <t xml:space="preserve">Every factual claim links to the source span it was drawn from (document, section, page/chunk).</t>
  </si>
  <si>
    <t xml:space="preserve">Confidence signal</t>
  </si>
  <si>
    <t xml:space="preserve">Retrieval score and model confidence exposed where available; below-threshold answers abstain or flag.</t>
  </si>
  <si>
    <t xml:space="preserve">No-source abstention</t>
  </si>
  <si>
    <t xml:space="preserve">When the system cannot ground a claim, it says so — it never asserts an ungrounded fact.</t>
  </si>
  <si>
    <t xml:space="preserve">Domain mandatory</t>
  </si>
  <si>
    <t xml:space="preserve">Credit (spreading, covenants, collections), Investments (IC memos, KPI, research), Trust (synoptic, fiduciary), Compliance (conformance, fee). These domains get citation-or-silence enforced architecturally, not by convention.</t>
  </si>
  <si>
    <t xml:space="preserve">Plain-language reasoning</t>
  </si>
  <si>
    <t xml:space="preserve">For client-facing outputs, a plain-language explanation of what the system used and why is surfaced alongside the answer.</t>
  </si>
  <si>
    <t xml:space="preserve">All Tier-1/2 use cases. Mandatory for Credit, Investment, Trust, and Compliance domains.</t>
  </si>
  <si>
    <t xml:space="preserve">Internal productivity tools (meeting notes, SDLC docs) may use standard output without per-claim citation.</t>
  </si>
  <si>
    <t xml:space="preserve">STANDARD S — SECURITY</t>
  </si>
  <si>
    <t xml:space="preserve">AI systems are not exempt from the bank's security controls. They extend them.</t>
  </si>
  <si>
    <t xml:space="preserve">RBAC &amp; entitlements</t>
  </si>
  <si>
    <t xml:space="preserve">Access enforced at retrieval (index-query level), not post-generation. Deal/fund/client boundaries are structural, not procedural.</t>
  </si>
  <si>
    <t xml:space="preserve">PII controls</t>
  </si>
  <si>
    <t xml:space="preserve">PII detected and redacted before it reaches external model endpoints. PII in audit traces encrypted at field level. Erasure requests propagate to embeddings, caches, and logs.</t>
  </si>
  <si>
    <t xml:space="preserve">Prompt injection defense</t>
  </si>
  <si>
    <t xml:space="preserve">Instruction hierarchy enforced in system prompt; retrieved content and tool outputs spotlighted as untrusted data; injection detection in input guardrails.</t>
  </si>
  <si>
    <t xml:space="preserve">Least-privilege agents</t>
  </si>
  <si>
    <t xml:space="preserve">Every tool an agent calls has its own scoped, short-lived credential. No shared super-user service accounts. Write credentials do not exist for Tier-1 propose-only agents.</t>
  </si>
  <si>
    <t xml:space="preserve">Audit trail integrity</t>
  </si>
  <si>
    <t xml:space="preserve">Audit store is tamper-evident (WORM-quality). Access to traces is role-restricted. Traces are classified at the level of the data they contain.</t>
  </si>
  <si>
    <t xml:space="preserve">Vendor data terms</t>
  </si>
  <si>
    <t xml:space="preserve">No client data reaches a SaaS endpoint without data-processing agreement review. Air-gap or VPC routing enforced by the gateway for confidential/restricted data classes.</t>
  </si>
  <si>
    <t xml:space="preserve">STANDARD H — HUMAN-IN-THE-LOOP</t>
  </si>
  <si>
    <t xml:space="preserve">Human accountability is not a feature. It is an architectural requirement for consequential outputs.</t>
  </si>
  <si>
    <t xml:space="preserve">Mandatory HITL triggers</t>
  </si>
  <si>
    <t xml:space="preserve">Client communication / Regulatory reporting / Trade or booking instructions / Fee calculations or adjustments / Fiduciary conclusions / Any output feeding a system of record.</t>
  </si>
  <si>
    <t xml:space="preserve">Maker-checker implementation</t>
  </si>
  <si>
    <t xml:space="preserve">Approval UI shows the full evidence ledger (not just the conclusion). Approver identity, timestamp, and decision logged to audit store. Stale approvals auto-expire.</t>
  </si>
  <si>
    <t xml:space="preserve">Async task state</t>
  </si>
  <si>
    <t xml:space="preserve">Agents must survive waiting hours for approval. State externalized to a durable store; the agent does not hold a blocking thread.</t>
  </si>
  <si>
    <t xml:space="preserve">Tier-1 permanence</t>
  </si>
  <si>
    <t xml:space="preserve">Tier-1 use cases remain propose-only permanently. Promotion to any higher autonomy requires independent model validation — it is never a product decision.</t>
  </si>
  <si>
    <t xml:space="preserve">Tiered by blast radius</t>
  </si>
  <si>
    <t xml:space="preserve">HITL gates are tiered by consequence, not applied uniformly. Gate payment instructions; sample-review internal summaries. Uniform gating creates rubber-stamp reviewers.</t>
  </si>
  <si>
    <t xml:space="preserve">No AI-to-AI approval</t>
  </si>
  <si>
    <t xml:space="preserve">An AI model may not approve its own output or another model's output for a Tier-1 action. The accountable approver is a named, authenticated human.</t>
  </si>
  <si>
    <t xml:space="preserve">Mandatory for all client-facing, regulatory, booking, fee, and fiduciary outputs (see trigger list). Tiered review for all others.</t>
  </si>
  <si>
    <t xml:space="preserve">Internal read-only tools (CPMS search, meeting notes, research aggregation) may operate without per-output HITL, subject to sampled review.</t>
  </si>
  <si>
    <t xml:space="preserve">Standards Compliance Matrix — Use Case View</t>
  </si>
  <si>
    <t xml:space="preserve">Tier</t>
  </si>
  <si>
    <t xml:space="preserve">Traceability</t>
  </si>
  <si>
    <t xml:space="preserve">Explainability</t>
  </si>
  <si>
    <t xml:space="preserve">Security</t>
  </si>
  <si>
    <t xml:space="preserve">HITL</t>
  </si>
  <si>
    <t xml:space="preserve">Architecture Review</t>
  </si>
  <si>
    <t xml:space="preserve">Required</t>
  </si>
  <si>
    <t xml:space="preserve">Pre-prod gate</t>
  </si>
  <si>
    <t xml:space="preserve">Review</t>
  </si>
  <si>
    <t xml:space="preserve">Sampled</t>
  </si>
  <si>
    <t xml:space="preserve">Conditional</t>
  </si>
  <si>
    <t xml:space="preserve">Self-certify</t>
  </si>
  <si>
    <t xml:space="preserve">Evaluation Framework — What 'Shipped' Means</t>
  </si>
  <si>
    <t xml:space="preserve">The most common point of failure in enterprise AI programs. Every release must pass. Defined jointly by LOB Architecture and AI Labs.</t>
  </si>
  <si>
    <t xml:space="preserve">"If you can't measure it, you shipped a demo, not a system." LOB Architecture will not sign off on production deployment without evidence against all six metric categories below.</t>
  </si>
  <si>
    <t xml:space="preserve">Why it matters</t>
  </si>
  <si>
    <t xml:space="preserve">What good looks like</t>
  </si>
  <si>
    <t xml:space="preserve">Common failure mode</t>
  </si>
  <si>
    <t xml:space="preserve">Who is accountable</t>
  </si>
  <si>
    <t xml:space="preserve">Golden Test Sets</t>
  </si>
  <si>
    <t xml:space="preserve">The foundation. Without this, all other metrics are unmeasurable.</t>
  </si>
  <si>
    <t xml:space="preserve">30–50 cases minimum per use case at launch, stratified: happy path (40%), edge cases (30%), adversarial inputs (20%), correct-abstention cases (10%). Sourced from real data or SME-authored. Refreshed monthly by mining production failures.</t>
  </si>
  <si>
    <t xml:space="preserve">Cases written by the team that built the prompt, covering only happy paths. This measures agreement with their own assumptions, not system quality.</t>
  </si>
  <si>
    <t xml:space="preserve">LOB Architecture curates; AI Labs runs; both approve the eval set before production.</t>
  </si>
  <si>
    <t xml:space="preserve">Accuracy &amp; Task Success</t>
  </si>
  <si>
    <t xml:space="preserve">Does the system do what it is supposed to do?</t>
  </si>
  <si>
    <t xml:space="preserve">Rubric-scored per dimension (e.g., extraction completeness, instruction compliance, format adherence). Minimum threshold defined per use case before build. Reported per segment (document type, query class) not just in aggregate.</t>
  </si>
  <si>
    <t xml:space="preserve">A single holistic 1–10 quality score that nobody can calibrate or act on. Celebrating aggregate movement while a critical segment regressed.</t>
  </si>
  <si>
    <t xml:space="preserve">AI Labs CI system runs on every prompt and model change. LOB Architecture reviews segment-level breakdown.</t>
  </si>
  <si>
    <t xml:space="preserve">Hallucination &amp; Groundedness</t>
  </si>
  <si>
    <t xml:space="preserve">Does every claim have a source? Are there invented facts?</t>
  </si>
  <si>
    <t xml:space="preserve">Groundedness: % of factual claims with a verifiable source span in the retrieved context. Hallucination: % of claims that contradict or are absent from the context. Target: groundedness ≥ 95% for Tier-1/2; zero ungrounded claims in client-facing regulated output.</t>
  </si>
  <si>
    <t xml:space="preserve">Trusting the model to self-assess. Automated citation-validation skipped because 'the model is good.' Groundedness not measured in agent systems where the 'answer' spans multiple steps.</t>
  </si>
  <si>
    <t xml:space="preserve">AI Labs provides the groundedness eval tool. LOB Architecture sets the per-use-case threshold. Fails CI.</t>
  </si>
  <si>
    <t xml:space="preserve">Latency</t>
  </si>
  <si>
    <t xml:space="preserve">Is the system fast enough to be used?</t>
  </si>
  <si>
    <t xml:space="preserve">p50 and p95 end-to-end latency measured at the use-case level (including retrieval, guardrails, and HITL queue time for async workflows). Targets set at intake. Alerts on degradation &gt;20% vs. baseline.</t>
  </si>
  <si>
    <t xml:space="preserve">Measuring model inference latency only, missing retrieval and guardrail overhead. No p95 — the tail is where users give up.</t>
  </si>
  <si>
    <t xml:space="preserve">AI Labs instruments at the gateway. LOB Architecture reviews against user experience requirements.</t>
  </si>
  <si>
    <t xml:space="preserve">Cost per Outcome</t>
  </si>
  <si>
    <t xml:space="preserve">Is the system economically viable?</t>
  </si>
  <si>
    <t xml:space="preserve">Unit: cost per resolved task (not cost per token). Measured at the use-case level. Budget ceiling set at intake. Gateway enforces per-request and per-day budgets. Token counts, provider costs, and compute costs all included. Reported to LOB monthly.</t>
  </si>
  <si>
    <t xml:space="preserve">Reporting cost per token — a number with no business context. Not tracking retry inflation or agent loop costs. Surprises at the cloud bill.</t>
  </si>
  <si>
    <t xml:space="preserve">AI Labs provides the FinOps dashboard. LOB Architecture owns the budget ceiling and chargeback allocation.</t>
  </si>
  <si>
    <t xml:space="preserve">Hallucination in Agents (Trajectory)</t>
  </si>
  <si>
    <t xml:space="preserve">Did the agent take the right path, not just reach the right answer?</t>
  </si>
  <si>
    <t xml:space="preserve">Tool-choice correctness (did it call the right tool?). Step efficiency (unnecessary iterations flagged). Budget adherence (did it stay within iteration/token/cost limits?). Recovery behavior (did it handle a failed step correctly?). HITL compliance (did it stop at every required gate?).</t>
  </si>
  <si>
    <t xml:space="preserve">Scoring only the final answer. An agent that stumbled into the right answer through 12 wasteful, risky steps scores the same as a clean run. HITL gates not tested in eval.</t>
  </si>
  <si>
    <t xml:space="preserve">Required only for agentic use cases (L4 target). AI Labs provides the trajectory eval tool.</t>
  </si>
  <si>
    <t xml:space="preserve">Release Gate Checklist — LOB Architecture Sign-Off Criteria</t>
  </si>
  <si>
    <t xml:space="preserve">Criterion</t>
  </si>
  <si>
    <t xml:space="preserve">Tier-1</t>
  </si>
  <si>
    <t xml:space="preserve">Tier-2</t>
  </si>
  <si>
    <t xml:space="preserve">Tier-3</t>
  </si>
  <si>
    <t xml:space="preserve">G1</t>
  </si>
  <si>
    <t xml:space="preserve">Golden test set exists (≥30 stratified cases, LOB approved)</t>
  </si>
  <si>
    <t xml:space="preserve">G2</t>
  </si>
  <si>
    <t xml:space="preserve">All six metric categories have defined thresholds</t>
  </si>
  <si>
    <t xml:space="preserve">G3</t>
  </si>
  <si>
    <t xml:space="preserve">CI eval gate passes (no threshold breached on current prompt/model/index)</t>
  </si>
  <si>
    <t xml:space="preserve">G4</t>
  </si>
  <si>
    <t xml:space="preserve">Prompt and model version registered in respective registries</t>
  </si>
  <si>
    <t xml:space="preserve">G5</t>
  </si>
  <si>
    <t xml:space="preserve">Audit store capture verified (end-to-end trace confirmed)</t>
  </si>
  <si>
    <t xml:space="preserve">Spot-test</t>
  </si>
  <si>
    <t xml:space="preserve">G6</t>
  </si>
  <si>
    <t xml:space="preserve">Security controls layer active (PII scan + injection defense tested)</t>
  </si>
  <si>
    <t xml:space="preserve">G7</t>
  </si>
  <si>
    <t xml:space="preserve">Entitlement enforcement tested (cross-boundary retrieval blocked)</t>
  </si>
  <si>
    <t xml:space="preserve">G8</t>
  </si>
  <si>
    <t xml:space="preserve">HITL workflow live and rehearsed</t>
  </si>
  <si>
    <t xml:space="preserve">N/A</t>
  </si>
  <si>
    <t xml:space="preserve">G9</t>
  </si>
  <si>
    <t xml:space="preserve">Maker-checker gate identity-logging confirmed</t>
  </si>
  <si>
    <t xml:space="preserve">G10</t>
  </si>
  <si>
    <t xml:space="preserve">Independent model validation evidence on file</t>
  </si>
  <si>
    <t xml:space="preserve">G11</t>
  </si>
  <si>
    <t xml:space="preserve">Shadow deployment vs. human baseline completed</t>
  </si>
  <si>
    <t xml:space="preserve">Recommended</t>
  </si>
  <si>
    <t xml:space="preserve">G12</t>
  </si>
  <si>
    <t xml:space="preserve">Incident runbook + kill switch rehearsed</t>
  </si>
  <si>
    <t xml:space="preserve">G13</t>
  </si>
  <si>
    <t xml:space="preserve">Cost-per-outcome baseline recorded</t>
  </si>
  <si>
    <t xml:space="preserve">G14</t>
  </si>
  <si>
    <t xml:space="preserve">LOB Architecture architecture review passed</t>
  </si>
  <si>
    <t xml:space="preserve">12-Month Delivery Roadmap — LOB Architecture ↔ AI Labs</t>
  </si>
  <si>
    <t xml:space="preserve">What AI Labs must deliver. What LOB Architecture must deliver in parallel. Exit criteria gate progression.</t>
  </si>
  <si>
    <t xml:space="preserve">Quarter</t>
  </si>
  <si>
    <t xml:space="preserve">AI Labs must deliver</t>
  </si>
  <si>
    <t xml:space="preserve">LOB Architecture must deliver</t>
  </si>
  <si>
    <t xml:space="preserve">Exit criteria — both sides</t>
  </si>
  <si>
    <t xml:space="preserve">Maturity unlocked</t>
  </si>
  <si>
    <t xml:space="preserve">Q1
(0–3 mo)</t>
  </si>
  <si>
    <t xml:space="preserve">AI Gateway MVP (auth, routing, data-class enforcement, kill switch)
Prompt Registry v1 (versioning, CI hook)
Model Registry v1 (inventory, pinning)
Audit &amp; Trace Store (WORM, replayable)
Evaluation Framework v1 (golden-set runner, CI gate)
Security Controls (PII redact, injection detection)
VPC/private endpoints for confidential data class</t>
  </si>
  <si>
    <t xml:space="preserve">Risk-tier intake process live
Use-case registry (all 25 registered)
First golden test set (investor copilot or CPMS)
Architecture standards published to teams
Architecture review gate process agreed with AI Labs</t>
  </si>
  <si>
    <t xml:space="preserve">1) Any request traced end-to-end in audit store
2) CI gate blocks a deliberately degraded prompt
3) Confidential data class routes only to VPC
4) ≥1 use case in shadow deployment</t>
  </si>
  <si>
    <t xml:space="preserve">L2 unlocked</t>
  </si>
  <si>
    <t xml:space="preserve">Q2
(3–6 mo)</t>
  </si>
  <si>
    <t xml:space="preserve">Vector &amp; Knowledge Platform (entitlement-aware, hybrid retrieval, CDC)
Document Processing Service (multi-format, schema library, HITL queue)
Deterministic Comparison Engine (ratios, headroom, coverage)
Template Drafting Service (section chaining, reflection critic)
Knowledge &amp; RAG Platform productized
Document Intelligence Platform productized</t>
  </si>
  <si>
    <t xml:space="preserve">Golden test sets for all W2 use cases
Domain rubrics (Credit, Investment, Ops, PE)
Platform reuse standards enforced in architecture reviews
FinOps budget allocations per use case to AI Labs
MRM intake process for Tier-1/2 use cases</t>
  </si>
  <si>
    <t xml:space="preserve">1) Second use case in an archetype ships in ≤4 weeks
2) Entitlement cross-boundary test blocked in retrieval
3) Groundedness metric ≥95% on a Tier-2 use case in production
4) All W2 use cases have CI eval gates</t>
  </si>
  <si>
    <t xml:space="preserve">L3 unlocked</t>
  </si>
  <si>
    <t xml:space="preserve">Q3
(6–9 mo)</t>
  </si>
  <si>
    <t xml:space="preserve">Workflow Agent Platform (workflow engine, tool registry, budget enforcer)
Maker-Checker Approval Service (async state, identity logging)
Memory Service (per-entity store, pinned facts, deletion propagation)
Agent Trajectory Eval tool
Workflow Agent Platform productized</t>
  </si>
  <si>
    <t xml:space="preserve">Maturity targets confirmed for W3 use cases
MRM validation evidence package (independent validation for Tier-1)
Agent golden sets (trajectory, tool-choice, recovery)
HITL gate UI reviewed for maker-checker adequacy
Incident runbook and kill-switch rehearsal scheduled</t>
  </si>
  <si>
    <t xml:space="preserve">1) Agent completes a multi-step task with full trajectory trace
2) HITL gate identity-logging confirmed in audit store
3) Kill switch disables a use case in &lt;60s
4) ≥1 Tier-1 use case has independent validation evidence on file</t>
  </si>
  <si>
    <t xml:space="preserve">L4 unlocked</t>
  </si>
  <si>
    <t xml:space="preserve">Q4
(9–12 mo)</t>
  </si>
  <si>
    <t xml:space="preserve">Predictive Intelligence Platform (ML serving, feature store, MRM-compatible)
Full FinOps dashboard (cost per outcome by use case and LOB)
Pattern library published and searchable
Chargeback allocation reporting to LOB Finance
All eight Phase 1 services at production SLA</t>
  </si>
  <si>
    <t xml:space="preserve">AI operating model governance published
Portfolio review cadence (quarterly)
MRM revalidation triggers defined
Pattern library adoption tracked
Success metrics reported to senior leadership</t>
  </si>
  <si>
    <t xml:space="preserve">1) ≥15 of 25 use cases on shared platform services
2) Cost per outcome tracked for all production use cases
3) Zero Tier-1 outputs released without maker-checker in trailing 90 days
4) Any Tier-1/2 output reproduced on demand in &lt;1 business day</t>
  </si>
  <si>
    <t xml:space="preserve">L5 foundations</t>
  </si>
  <si>
    <t xml:space="preserve">Use Case Portfolio — Platform, Maturity &amp; Standards View</t>
  </si>
  <si>
    <t xml:space="preserve">Master table linking every use case to its platform, maturity target, required standards, wave, and tier. Filter and sort to drive both AI Labs backlog and LOB Architecture reviews.</t>
  </si>
  <si>
    <t xml:space="preserve">Target Maturity</t>
  </si>
  <si>
    <t xml:space="preserve">Architecture Review Gate</t>
  </si>
  <si>
    <t xml:space="preserve">Doc Intelligence</t>
  </si>
  <si>
    <t xml:space="preserve">W4</t>
  </si>
  <si>
    <t xml:space="preserve">Workflow Agent</t>
  </si>
  <si>
    <t xml:space="preserve">W3</t>
  </si>
  <si>
    <t xml:space="preserve">Knowledge &amp; RAG</t>
  </si>
  <si>
    <t xml:space="preserve">Public Eq</t>
  </si>
</sst>
</file>

<file path=xl/styles.xml><?xml version="1.0" encoding="utf-8"?>
<styleSheet xmlns="http://schemas.openxmlformats.org/spreadsheetml/2006/main">
  <numFmts count="2">
    <numFmt numFmtId="164" formatCode="General"/>
    <numFmt numFmtId="165" formatCode="General"/>
  </numFmts>
  <fonts count="25">
    <font>
      <sz val="11"/>
      <color theme="1"/>
      <name val="Calibri"/>
      <family val="2"/>
      <charset val="1"/>
    </font>
    <font>
      <sz val="10"/>
      <name val="Arial"/>
      <family val="0"/>
    </font>
    <font>
      <sz val="10"/>
      <name val="Arial"/>
      <family val="0"/>
    </font>
    <font>
      <sz val="10"/>
      <name val="Arial"/>
      <family val="0"/>
    </font>
    <font>
      <b val="true"/>
      <sz val="14"/>
      <color rgb="FF1E1B4B"/>
      <name val="Arial"/>
      <family val="0"/>
      <charset val="1"/>
    </font>
    <font>
      <i val="true"/>
      <sz val="10"/>
      <color rgb="FF64748B"/>
      <name val="Arial"/>
      <family val="0"/>
      <charset val="1"/>
    </font>
    <font>
      <b val="true"/>
      <sz val="12"/>
      <color rgb="FFFFFFFF"/>
      <name val="Arial"/>
      <family val="0"/>
      <charset val="1"/>
    </font>
    <font>
      <b val="true"/>
      <sz val="11"/>
      <color rgb="FF4F46E5"/>
      <name val="Arial"/>
      <family val="0"/>
      <charset val="1"/>
    </font>
    <font>
      <b val="true"/>
      <sz val="10"/>
      <color rgb="FFFFFFFF"/>
      <name val="Arial"/>
      <family val="0"/>
      <charset val="1"/>
    </font>
    <font>
      <sz val="10"/>
      <color rgb="FF1E293B"/>
      <name val="Arial"/>
      <family val="0"/>
      <charset val="1"/>
    </font>
    <font>
      <b val="true"/>
      <sz val="10"/>
      <color rgb="FF4F46E5"/>
      <name val="Arial"/>
      <family val="0"/>
      <charset val="1"/>
    </font>
    <font>
      <b val="true"/>
      <sz val="10"/>
      <color rgb="FF1E1B4B"/>
      <name val="Arial"/>
      <family val="0"/>
      <charset val="1"/>
    </font>
    <font>
      <sz val="11"/>
      <color rgb="FF1E1B4B"/>
      <name val="Arial"/>
      <family val="0"/>
      <charset val="1"/>
    </font>
    <font>
      <b val="true"/>
      <sz val="10"/>
      <color rgb="FF1E293B"/>
      <name val="Arial"/>
      <family val="0"/>
      <charset val="1"/>
    </font>
    <font>
      <b val="true"/>
      <sz val="12"/>
      <color rgb="FF1E1B4B"/>
      <name val="Arial"/>
      <family val="0"/>
      <charset val="1"/>
    </font>
    <font>
      <b val="true"/>
      <sz val="10"/>
      <color rgb="FF7C3AED"/>
      <name val="Arial"/>
      <family val="0"/>
      <charset val="1"/>
    </font>
    <font>
      <b val="true"/>
      <sz val="10"/>
      <color rgb="FF92400E"/>
      <name val="Arial"/>
      <family val="0"/>
      <charset val="1"/>
    </font>
    <font>
      <i val="true"/>
      <sz val="10"/>
      <color rgb="FF1E293B"/>
      <name val="Arial"/>
      <family val="0"/>
      <charset val="1"/>
    </font>
    <font>
      <b val="true"/>
      <sz val="9"/>
      <color rgb="FF1E293B"/>
      <name val="Arial"/>
      <family val="0"/>
      <charset val="1"/>
    </font>
    <font>
      <i val="true"/>
      <sz val="10"/>
      <color rgb="FF1E1B4B"/>
      <name val="Arial"/>
      <family val="0"/>
      <charset val="1"/>
    </font>
    <font>
      <b val="true"/>
      <sz val="10"/>
      <color rgb="FF64748B"/>
      <name val="Arial"/>
      <family val="0"/>
      <charset val="1"/>
    </font>
    <font>
      <b val="true"/>
      <sz val="9"/>
      <color rgb="FF166534"/>
      <name val="Arial"/>
      <family val="0"/>
      <charset val="1"/>
    </font>
    <font>
      <b val="true"/>
      <sz val="9"/>
      <color rgb="FF78350F"/>
      <name val="Arial"/>
      <family val="0"/>
      <charset val="1"/>
    </font>
    <font>
      <i val="true"/>
      <sz val="11"/>
      <color rgb="FF1E1B4B"/>
      <name val="Arial"/>
      <family val="0"/>
      <charset val="1"/>
    </font>
    <font>
      <b val="true"/>
      <sz val="9"/>
      <color rgb="FF64748B"/>
      <name val="Arial"/>
      <family val="0"/>
      <charset val="1"/>
    </font>
  </fonts>
  <fills count="22">
    <fill>
      <patternFill patternType="none"/>
    </fill>
    <fill>
      <patternFill patternType="gray125"/>
    </fill>
    <fill>
      <patternFill patternType="solid">
        <fgColor rgb="FF1E1B4B"/>
        <bgColor rgb="FF1E293B"/>
      </patternFill>
    </fill>
    <fill>
      <patternFill patternType="solid">
        <fgColor rgb="FFFFFFFF"/>
        <bgColor rgb="FFF8FAFC"/>
      </patternFill>
    </fill>
    <fill>
      <patternFill patternType="solid">
        <fgColor rgb="FFEEF2FF"/>
        <bgColor rgb="FFEFF6FF"/>
      </patternFill>
    </fill>
    <fill>
      <patternFill patternType="solid">
        <fgColor rgb="FF7C3AED"/>
        <bgColor rgb="FF4F46E5"/>
      </patternFill>
    </fill>
    <fill>
      <patternFill patternType="solid">
        <fgColor rgb="FFF5F3FF"/>
        <bgColor rgb="FFF1F5F9"/>
      </patternFill>
    </fill>
    <fill>
      <patternFill patternType="solid">
        <fgColor rgb="FF0891B2"/>
        <bgColor rgb="FF0F766E"/>
      </patternFill>
    </fill>
    <fill>
      <patternFill patternType="solid">
        <fgColor rgb="FFEFF6FF"/>
        <bgColor rgb="FFF1F5F9"/>
      </patternFill>
    </fill>
    <fill>
      <patternFill patternType="solid">
        <fgColor rgb="FFF0FDF4"/>
        <bgColor rgb="FFF8FAFC"/>
      </patternFill>
    </fill>
    <fill>
      <patternFill patternType="solid">
        <fgColor rgb="FFF1F5F9"/>
        <bgColor rgb="FFEFF6FF"/>
      </patternFill>
    </fill>
    <fill>
      <patternFill patternType="solid">
        <fgColor rgb="FFDBEAFE"/>
        <bgColor rgb="FFEDE9FE"/>
      </patternFill>
    </fill>
    <fill>
      <patternFill patternType="solid">
        <fgColor rgb="FFEDE9FE"/>
        <bgColor rgb="FFEEF2FF"/>
      </patternFill>
    </fill>
    <fill>
      <patternFill patternType="solid">
        <fgColor rgb="FFD1FAE5"/>
        <bgColor rgb="FFDCFCE7"/>
      </patternFill>
    </fill>
    <fill>
      <patternFill patternType="solid">
        <fgColor rgb="FFFEF9C3"/>
        <bgColor rgb="FFFEF3C7"/>
      </patternFill>
    </fill>
    <fill>
      <patternFill patternType="solid">
        <fgColor rgb="FFFDE2E2"/>
        <bgColor rgb="FFEDE9FE"/>
      </patternFill>
    </fill>
    <fill>
      <patternFill patternType="solid">
        <fgColor rgb="FFFEF3C7"/>
        <bgColor rgb="FFFEF9C3"/>
      </patternFill>
    </fill>
    <fill>
      <patternFill patternType="solid">
        <fgColor rgb="FFDCFCE7"/>
        <bgColor rgb="FFD1FAE5"/>
      </patternFill>
    </fill>
    <fill>
      <patternFill patternType="solid">
        <fgColor rgb="FFF8FAFC"/>
        <bgColor rgb="FFFFFFFF"/>
      </patternFill>
    </fill>
    <fill>
      <patternFill patternType="solid">
        <fgColor rgb="FF64748B"/>
        <bgColor rgb="FF808080"/>
      </patternFill>
    </fill>
    <fill>
      <patternFill patternType="solid">
        <fgColor rgb="FF0F766E"/>
        <bgColor rgb="FF166534"/>
      </patternFill>
    </fill>
    <fill>
      <patternFill patternType="solid">
        <fgColor rgb="FF92400E"/>
        <bgColor rgb="FF78350F"/>
      </patternFill>
    </fill>
  </fills>
  <borders count="4">
    <border diagonalUp="false" diagonalDown="false">
      <left/>
      <right/>
      <top/>
      <bottom/>
      <diagonal/>
    </border>
    <border diagonalUp="false" diagonalDown="false">
      <left style="medium">
        <color rgb="FF4F46E5"/>
      </left>
      <right/>
      <top style="medium">
        <color rgb="FF4F46E5"/>
      </top>
      <bottom/>
      <diagonal/>
    </border>
    <border diagonalUp="false" diagonalDown="false">
      <left style="thin">
        <color rgb="FFCBD5E1"/>
      </left>
      <right style="thin">
        <color rgb="FFCBD5E1"/>
      </right>
      <top style="thin">
        <color rgb="FFCBD5E1"/>
      </top>
      <bottom style="thin">
        <color rgb="FFCBD5E1"/>
      </bottom>
      <diagonal/>
    </border>
    <border diagonalUp="false" diagonalDown="false">
      <left style="thin">
        <color rgb="FFCBD5E1"/>
      </left>
      <right/>
      <top style="thin">
        <color rgb="FFCBD5E1"/>
      </top>
      <bottom style="thin">
        <color rgb="FFCBD5E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2" xfId="0" applyFont="true" applyBorder="true" applyAlignment="true" applyProtection="false">
      <alignment horizontal="general" vertical="top" textRotation="0" wrapText="true" indent="0" shrinkToFit="false"/>
      <protection locked="true" hidden="false"/>
    </xf>
    <xf numFmtId="164" fontId="8" fillId="2" borderId="2" xfId="0" applyFont="true" applyBorder="true" applyAlignment="true" applyProtection="false">
      <alignment horizontal="center" vertical="top" textRotation="0" wrapText="true" indent="0" shrinkToFit="false"/>
      <protection locked="true" hidden="false"/>
    </xf>
    <xf numFmtId="164" fontId="9" fillId="3" borderId="2" xfId="0" applyFont="true" applyBorder="true" applyAlignment="true" applyProtection="false">
      <alignment horizontal="general" vertical="top" textRotation="0" wrapText="true" indent="0" shrinkToFit="false"/>
      <protection locked="true" hidden="false"/>
    </xf>
    <xf numFmtId="165" fontId="10" fillId="3" borderId="2" xfId="0" applyFont="true" applyBorder="true" applyAlignment="true" applyProtection="false">
      <alignment horizontal="center" vertical="top" textRotation="0" wrapText="true" indent="0" shrinkToFit="false"/>
      <protection locked="true" hidden="false"/>
    </xf>
    <xf numFmtId="164" fontId="9" fillId="4" borderId="2" xfId="0" applyFont="true" applyBorder="true" applyAlignment="true" applyProtection="false">
      <alignment horizontal="general" vertical="top" textRotation="0" wrapText="true" indent="0" shrinkToFit="false"/>
      <protection locked="true" hidden="false"/>
    </xf>
    <xf numFmtId="165" fontId="10" fillId="4" borderId="2" xfId="0" applyFont="true" applyBorder="true" applyAlignment="true" applyProtection="false">
      <alignment horizontal="center" vertical="top" textRotation="0" wrapText="true" indent="0" shrinkToFit="false"/>
      <protection locked="true" hidden="false"/>
    </xf>
    <xf numFmtId="164" fontId="8" fillId="5" borderId="2" xfId="0" applyFont="true" applyBorder="true" applyAlignment="true" applyProtection="false">
      <alignment horizontal="general" vertical="top" textRotation="0" wrapText="true" indent="0" shrinkToFit="false"/>
      <protection locked="true" hidden="false"/>
    </xf>
    <xf numFmtId="164" fontId="8" fillId="5" borderId="2" xfId="0" applyFont="true" applyBorder="true" applyAlignment="true" applyProtection="false">
      <alignment horizontal="center" vertical="top" textRotation="0" wrapText="true" indent="0" shrinkToFit="false"/>
      <protection locked="true" hidden="false"/>
    </xf>
    <xf numFmtId="164" fontId="11" fillId="3" borderId="2" xfId="0" applyFont="true" applyBorder="true" applyAlignment="true" applyProtection="false">
      <alignment horizontal="general" vertical="top" textRotation="0" wrapText="true" indent="0" shrinkToFit="false"/>
      <protection locked="true" hidden="false"/>
    </xf>
    <xf numFmtId="164" fontId="11" fillId="4" borderId="2" xfId="0" applyFont="true" applyBorder="true" applyAlignment="true" applyProtection="false">
      <alignment horizontal="general" vertical="top" textRotation="0" wrapText="true" indent="0" shrinkToFit="false"/>
      <protection locked="true" hidden="false"/>
    </xf>
    <xf numFmtId="164" fontId="12" fillId="6" borderId="1" xfId="0" applyFont="true" applyBorder="true" applyAlignment="true" applyProtection="false">
      <alignment horizontal="general" vertical="center" textRotation="0" wrapText="true" indent="0" shrinkToFit="false"/>
      <protection locked="true" hidden="false"/>
    </xf>
    <xf numFmtId="164" fontId="13" fillId="3" borderId="2" xfId="0" applyFont="true" applyBorder="true" applyAlignment="true" applyProtection="false">
      <alignment horizontal="general" vertical="top" textRotation="0" wrapText="true" indent="0" shrinkToFit="false"/>
      <protection locked="true" hidden="false"/>
    </xf>
    <xf numFmtId="164" fontId="13" fillId="4" borderId="2" xfId="0" applyFont="true" applyBorder="true" applyAlignment="true" applyProtection="false">
      <alignment horizontal="general" vertical="top" textRotation="0" wrapText="true" indent="0" shrinkToFit="false"/>
      <protection locked="true" hidden="false"/>
    </xf>
    <xf numFmtId="164" fontId="8" fillId="7" borderId="2" xfId="0" applyFont="true" applyBorder="true" applyAlignment="true" applyProtection="false">
      <alignment horizontal="general" vertical="top" textRotation="0" wrapText="true" indent="0" shrinkToFit="false"/>
      <protection locked="true" hidden="false"/>
    </xf>
    <xf numFmtId="164" fontId="8" fillId="7" borderId="2" xfId="0" applyFont="true" applyBorder="true" applyAlignment="true" applyProtection="false">
      <alignment horizontal="center" vertical="top" textRotation="0" wrapText="true" indent="0" shrinkToFit="false"/>
      <protection locked="true" hidden="false"/>
    </xf>
    <xf numFmtId="164" fontId="11" fillId="8" borderId="2" xfId="0" applyFont="true" applyBorder="true" applyAlignment="true" applyProtection="false">
      <alignment horizontal="general" vertical="top" textRotation="0" wrapText="true" indent="0" shrinkToFit="false"/>
      <protection locked="true" hidden="false"/>
    </xf>
    <xf numFmtId="164" fontId="9" fillId="8" borderId="2" xfId="0" applyFont="true" applyBorder="true" applyAlignment="true" applyProtection="false">
      <alignment horizontal="general" vertical="top" textRotation="0" wrapText="true" indent="0" shrinkToFit="false"/>
      <protection locked="true" hidden="false"/>
    </xf>
    <xf numFmtId="164" fontId="11" fillId="9" borderId="2" xfId="0" applyFont="true" applyBorder="true" applyAlignment="true" applyProtection="false">
      <alignment horizontal="general" vertical="top" textRotation="0" wrapText="true" indent="0" shrinkToFit="false"/>
      <protection locked="true" hidden="false"/>
    </xf>
    <xf numFmtId="164" fontId="9" fillId="9" borderId="2" xfId="0" applyFont="true" applyBorder="true" applyAlignment="true" applyProtection="false">
      <alignment horizontal="general" vertical="top" textRotation="0" wrapText="true" indent="0" shrinkToFit="false"/>
      <protection locked="true" hidden="false"/>
    </xf>
    <xf numFmtId="164" fontId="11" fillId="6" borderId="2" xfId="0" applyFont="true" applyBorder="true" applyAlignment="true" applyProtection="false">
      <alignment horizontal="general" vertical="top" textRotation="0" wrapText="true" indent="0" shrinkToFit="false"/>
      <protection locked="true" hidden="false"/>
    </xf>
    <xf numFmtId="164" fontId="9" fillId="6" borderId="2"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14" fillId="10" borderId="3"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xf numFmtId="164" fontId="14" fillId="11" borderId="3" xfId="0" applyFont="true" applyBorder="true" applyAlignment="false" applyProtection="false">
      <alignment horizontal="general" vertical="bottom" textRotation="0" wrapText="false" indent="0" shrinkToFit="false"/>
      <protection locked="true" hidden="false"/>
    </xf>
    <xf numFmtId="164" fontId="14" fillId="12" borderId="3" xfId="0" applyFont="true" applyBorder="true" applyAlignment="false" applyProtection="false">
      <alignment horizontal="general" vertical="bottom" textRotation="0" wrapText="false" indent="0" shrinkToFit="false"/>
      <protection locked="true" hidden="false"/>
    </xf>
    <xf numFmtId="164" fontId="14" fillId="13" borderId="3" xfId="0" applyFont="true" applyBorder="true" applyAlignment="false" applyProtection="false">
      <alignment horizontal="general" vertical="bottom" textRotation="0" wrapText="false" indent="0" shrinkToFit="false"/>
      <protection locked="true" hidden="false"/>
    </xf>
    <xf numFmtId="164" fontId="14" fillId="14" borderId="3" xfId="0" applyFont="true" applyBorder="true" applyAlignment="false" applyProtection="false">
      <alignment horizontal="general" vertical="bottom" textRotation="0" wrapText="fals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9" fillId="0" borderId="2" xfId="0" applyFont="true" applyBorder="true" applyAlignment="false" applyProtection="false">
      <alignment horizontal="general" vertical="bottom" textRotation="0" wrapText="false" indent="0" shrinkToFit="false"/>
      <protection locked="true" hidden="false"/>
    </xf>
    <xf numFmtId="164" fontId="13" fillId="0" borderId="2" xfId="0" applyFont="true" applyBorder="true" applyAlignment="false" applyProtection="false">
      <alignment horizontal="general" vertical="bottom" textRotation="0" wrapText="false" indent="0" shrinkToFit="false"/>
      <protection locked="true" hidden="false"/>
    </xf>
    <xf numFmtId="164" fontId="18" fillId="15" borderId="2" xfId="0" applyFont="true" applyBorder="true" applyAlignment="true" applyProtection="false">
      <alignment horizontal="center" vertical="center" textRotation="0" wrapText="true" indent="0" shrinkToFit="false"/>
      <protection locked="true" hidden="false"/>
    </xf>
    <xf numFmtId="164" fontId="18" fillId="10" borderId="2" xfId="0" applyFont="true" applyBorder="true" applyAlignment="true" applyProtection="false">
      <alignment horizontal="center" vertical="center" textRotation="0" wrapText="true" indent="0" shrinkToFit="false"/>
      <protection locked="true" hidden="false"/>
    </xf>
    <xf numFmtId="164" fontId="18" fillId="13" borderId="2" xfId="0" applyFont="true" applyBorder="true" applyAlignment="true" applyProtection="false">
      <alignment horizontal="center" vertical="center" textRotation="0" wrapText="true" indent="0" shrinkToFit="false"/>
      <protection locked="true" hidden="false"/>
    </xf>
    <xf numFmtId="164" fontId="9" fillId="0" borderId="2" xfId="0" applyFont="true" applyBorder="true" applyAlignment="true" applyProtection="false">
      <alignment horizontal="general" vertical="top" textRotation="0" wrapText="true" indent="0" shrinkToFit="false"/>
      <protection locked="true" hidden="false"/>
    </xf>
    <xf numFmtId="164" fontId="9" fillId="4" borderId="2" xfId="0" applyFont="true" applyBorder="true" applyAlignment="true" applyProtection="false">
      <alignment horizontal="center" vertical="center" textRotation="0" wrapText="true" indent="0" shrinkToFit="false"/>
      <protection locked="true" hidden="false"/>
    </xf>
    <xf numFmtId="164" fontId="9" fillId="4" borderId="2" xfId="0" applyFont="true" applyBorder="true" applyAlignment="false" applyProtection="false">
      <alignment horizontal="general" vertical="bottom" textRotation="0" wrapText="false" indent="0" shrinkToFit="false"/>
      <protection locked="true" hidden="false"/>
    </xf>
    <xf numFmtId="164" fontId="13" fillId="4" borderId="2" xfId="0" applyFont="true" applyBorder="true" applyAlignment="false" applyProtection="false">
      <alignment horizontal="general" vertical="bottom" textRotation="0" wrapText="false" indent="0" shrinkToFit="false"/>
      <protection locked="true" hidden="false"/>
    </xf>
    <xf numFmtId="164" fontId="18" fillId="16" borderId="2" xfId="0" applyFont="true" applyBorder="true" applyAlignment="true" applyProtection="false">
      <alignment horizontal="center" vertical="center" textRotation="0" wrapText="true" indent="0" shrinkToFit="false"/>
      <protection locked="true" hidden="false"/>
    </xf>
    <xf numFmtId="164" fontId="18" fillId="12" borderId="2" xfId="0" applyFont="true" applyBorder="true" applyAlignment="true" applyProtection="false">
      <alignment horizontal="center" vertical="center" textRotation="0" wrapText="true" indent="0" shrinkToFit="false"/>
      <protection locked="true" hidden="false"/>
    </xf>
    <xf numFmtId="164" fontId="18" fillId="17" borderId="2" xfId="0" applyFont="true" applyBorder="true" applyAlignment="true" applyProtection="false">
      <alignment horizontal="center" vertical="center" textRotation="0" wrapText="true" indent="0" shrinkToFit="false"/>
      <protection locked="true" hidden="false"/>
    </xf>
    <xf numFmtId="164" fontId="18" fillId="11" borderId="2" xfId="0" applyFont="true" applyBorder="true" applyAlignment="true" applyProtection="false">
      <alignment horizontal="center" vertical="center" textRotation="0" wrapText="true" indent="0" shrinkToFit="false"/>
      <protection locked="true" hidden="false"/>
    </xf>
    <xf numFmtId="164" fontId="6" fillId="2" borderId="3" xfId="0" applyFont="true" applyBorder="true" applyAlignment="true" applyProtection="false">
      <alignment horizontal="general" vertical="top" textRotation="0" wrapText="true" indent="0" shrinkToFit="false"/>
      <protection locked="true" hidden="false"/>
    </xf>
    <xf numFmtId="164" fontId="19" fillId="18" borderId="3" xfId="0" applyFont="true" applyBorder="true" applyAlignment="true" applyProtection="false">
      <alignment horizontal="general" vertical="top" textRotation="0" wrapText="true" indent="0" shrinkToFit="false"/>
      <protection locked="true" hidden="false"/>
    </xf>
    <xf numFmtId="164" fontId="8" fillId="19" borderId="2" xfId="0" applyFont="true" applyBorder="true" applyAlignment="true" applyProtection="false">
      <alignment horizontal="general" vertical="top" textRotation="0" wrapText="true" indent="0" shrinkToFit="false"/>
      <protection locked="true" hidden="false"/>
    </xf>
    <xf numFmtId="164" fontId="8" fillId="19" borderId="2" xfId="0" applyFont="true" applyBorder="true" applyAlignment="true" applyProtection="false">
      <alignment horizontal="center" vertical="top" textRotation="0" wrapText="true" indent="0" shrinkToFit="false"/>
      <protection locked="true" hidden="false"/>
    </xf>
    <xf numFmtId="164" fontId="9" fillId="3" borderId="3" xfId="0" applyFont="true" applyBorder="true" applyAlignment="true" applyProtection="false">
      <alignment horizontal="general" vertical="top" textRotation="0" wrapText="true" indent="0" shrinkToFit="false"/>
      <protection locked="true" hidden="false"/>
    </xf>
    <xf numFmtId="164" fontId="9" fillId="4" borderId="3" xfId="0" applyFont="true" applyBorder="true" applyAlignment="true" applyProtection="false">
      <alignment horizontal="general" vertical="top" textRotation="0" wrapText="tru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6" fillId="5" borderId="3" xfId="0" applyFont="true" applyBorder="true" applyAlignment="true" applyProtection="false">
      <alignment horizontal="general" vertical="top" textRotation="0" wrapText="true" indent="0" shrinkToFit="false"/>
      <protection locked="true" hidden="false"/>
    </xf>
    <xf numFmtId="164" fontId="6" fillId="20" borderId="3" xfId="0" applyFont="true" applyBorder="true" applyAlignment="true" applyProtection="false">
      <alignment horizontal="general" vertical="top" textRotation="0" wrapText="true" indent="0" shrinkToFit="false"/>
      <protection locked="true" hidden="false"/>
    </xf>
    <xf numFmtId="164" fontId="6" fillId="21" borderId="3" xfId="0" applyFont="true" applyBorder="true" applyAlignment="true" applyProtection="false">
      <alignment horizontal="general" vertical="top" textRotation="0" wrapText="true" indent="0" shrinkToFit="false"/>
      <protection locked="true" hidden="false"/>
    </xf>
    <xf numFmtId="164" fontId="9" fillId="3" borderId="2" xfId="0" applyFont="true" applyBorder="true" applyAlignment="true" applyProtection="false">
      <alignment horizontal="center" vertical="center" textRotation="0" wrapText="true" indent="0" shrinkToFit="false"/>
      <protection locked="true" hidden="false"/>
    </xf>
    <xf numFmtId="164" fontId="21" fillId="13" borderId="2" xfId="0" applyFont="true" applyBorder="true" applyAlignment="true" applyProtection="false">
      <alignment horizontal="center" vertical="center" textRotation="0" wrapText="true" indent="0" shrinkToFit="false"/>
      <protection locked="true" hidden="false"/>
    </xf>
    <xf numFmtId="164" fontId="22" fillId="16" borderId="2" xfId="0" applyFont="true" applyBorder="true" applyAlignment="true" applyProtection="false">
      <alignment horizontal="center" vertical="center" textRotation="0" wrapText="true" indent="0" shrinkToFit="false"/>
      <protection locked="true" hidden="false"/>
    </xf>
    <xf numFmtId="164" fontId="23" fillId="0" borderId="0" xfId="0" applyFont="true" applyBorder="false" applyAlignment="true" applyProtection="false">
      <alignment horizontal="general" vertical="top" textRotation="0" wrapText="true" indent="0" shrinkToFit="false"/>
      <protection locked="true" hidden="false"/>
    </xf>
    <xf numFmtId="164" fontId="11" fillId="18" borderId="2" xfId="0" applyFont="true" applyBorder="true" applyAlignment="true" applyProtection="false">
      <alignment horizontal="general" vertical="top" textRotation="0" wrapText="true" indent="0" shrinkToFit="false"/>
      <protection locked="true" hidden="false"/>
    </xf>
    <xf numFmtId="164" fontId="9" fillId="18" borderId="2" xfId="0" applyFont="true" applyBorder="true" applyAlignment="true" applyProtection="false">
      <alignment horizontal="general" vertical="top" textRotation="0" wrapText="true" indent="0" shrinkToFit="false"/>
      <protection locked="true" hidden="false"/>
    </xf>
    <xf numFmtId="164" fontId="11" fillId="12" borderId="2" xfId="0" applyFont="true" applyBorder="true" applyAlignment="true" applyProtection="false">
      <alignment horizontal="general" vertical="top" textRotation="0" wrapText="true" indent="0" shrinkToFit="false"/>
      <protection locked="true" hidden="false"/>
    </xf>
    <xf numFmtId="164" fontId="9" fillId="12" borderId="2" xfId="0" applyFont="true" applyBorder="true" applyAlignment="true" applyProtection="false">
      <alignment horizontal="general" vertical="top" textRotation="0" wrapText="true" indent="0" shrinkToFit="false"/>
      <protection locked="true" hidden="false"/>
    </xf>
    <xf numFmtId="164" fontId="24" fillId="10" borderId="2" xfId="0" applyFont="true" applyBorder="true" applyAlignment="true" applyProtection="false">
      <alignment horizontal="center" vertical="center" textRotation="0" wrapText="true" indent="0" shrinkToFit="false"/>
      <protection locked="true" hidden="false"/>
    </xf>
    <xf numFmtId="164" fontId="22" fillId="14" borderId="2" xfId="0" applyFont="true" applyBorder="true" applyAlignment="true" applyProtection="false">
      <alignment horizontal="center" vertical="center" textRotation="0" wrapText="true" indent="0" shrinkToFit="false"/>
      <protection locked="true" hidden="false"/>
    </xf>
    <xf numFmtId="164" fontId="0" fillId="0" borderId="2" xfId="0" applyFont="false" applyBorder="true" applyAlignment="true" applyProtection="false">
      <alignment horizontal="center" vertical="center" textRotation="0" wrapText="true" indent="0" shrinkToFit="false"/>
      <protection locked="true" hidden="false"/>
    </xf>
    <xf numFmtId="164" fontId="13" fillId="0" borderId="2" xfId="0" applyFont="true" applyBorder="true" applyAlignment="true" applyProtection="false">
      <alignment horizontal="general" vertical="top" textRotation="0" wrapText="true" indent="0" shrinkToFit="false"/>
      <protection locked="true" hidden="false"/>
    </xf>
    <xf numFmtId="164" fontId="18" fillId="4" borderId="2"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1E1B4B"/>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1E293B"/>
          <bgColor rgb="FF000000"/>
        </patternFill>
      </fill>
    </dxf>
    <dxf>
      <fill>
        <patternFill patternType="solid">
          <fgColor rgb="FFD1FAE5"/>
          <bgColor rgb="FF000000"/>
        </patternFill>
      </fill>
    </dxf>
    <dxf>
      <fill>
        <patternFill patternType="solid">
          <fgColor rgb="FFDBEAFE"/>
          <bgColor rgb="FF000000"/>
        </patternFill>
      </fill>
    </dxf>
    <dxf>
      <fill>
        <patternFill patternType="solid">
          <fgColor rgb="FFEDE9FE"/>
          <bgColor rgb="FF000000"/>
        </patternFill>
      </fill>
    </dxf>
    <dxf>
      <fill>
        <patternFill patternType="solid">
          <fgColor rgb="FFDCFCE7"/>
          <bgColor rgb="FF000000"/>
        </patternFill>
      </fill>
    </dxf>
    <dxf>
      <fill>
        <patternFill patternType="solid">
          <fgColor rgb="FFFDE2E2"/>
          <bgColor rgb="FF000000"/>
        </patternFill>
      </fill>
    </dxf>
    <dxf>
      <fill>
        <patternFill patternType="solid">
          <fgColor rgb="FFFEF3C7"/>
          <bgColor rgb="FF000000"/>
        </patternFill>
      </fill>
    </dxf>
    <dxf>
      <fill>
        <patternFill patternType="solid">
          <fgColor rgb="FFEEF2FF"/>
          <bgColor rgb="FF000000"/>
        </patternFill>
      </fill>
    </dxf>
    <dxf>
      <fill>
        <patternFill patternType="solid">
          <fgColor rgb="FF166534"/>
          <bgColor rgb="FF000000"/>
        </patternFill>
      </fill>
    </dxf>
    <dxf>
      <fill>
        <patternFill patternType="solid">
          <fgColor rgb="FF78350F"/>
          <bgColor rgb="FF000000"/>
        </patternFill>
      </fill>
    </dxf>
  </dxfs>
  <colors>
    <indexedColors>
      <rgbColor rgb="FF000000"/>
      <rgbColor rgb="FFFFFFFF"/>
      <rgbColor rgb="FFFF0000"/>
      <rgbColor rgb="FF00FF00"/>
      <rgbColor rgb="FF0000FF"/>
      <rgbColor rgb="FFF0FDF4"/>
      <rgbColor rgb="FFFF00FF"/>
      <rgbColor rgb="FF00FFFF"/>
      <rgbColor rgb="FF800000"/>
      <rgbColor rgb="FF166534"/>
      <rgbColor rgb="FF000080"/>
      <rgbColor rgb="FF808000"/>
      <rgbColor rgb="FF800080"/>
      <rgbColor rgb="FF0F766E"/>
      <rgbColor rgb="FFEDE9FE"/>
      <rgbColor rgb="FF808080"/>
      <rgbColor rgb="FFEFF6FF"/>
      <rgbColor rgb="FF78350F"/>
      <rgbColor rgb="FFFEF9C3"/>
      <rgbColor rgb="FFDCFCE7"/>
      <rgbColor rgb="FF660066"/>
      <rgbColor rgb="FFFF8080"/>
      <rgbColor rgb="FF0066CC"/>
      <rgbColor rgb="FFCBD5E1"/>
      <rgbColor rgb="FF000080"/>
      <rgbColor rgb="FFFF00FF"/>
      <rgbColor rgb="FFF8FAFC"/>
      <rgbColor rgb="FF00FFFF"/>
      <rgbColor rgb="FF800080"/>
      <rgbColor rgb="FF800000"/>
      <rgbColor rgb="FF0891B2"/>
      <rgbColor rgb="FF0000FF"/>
      <rgbColor rgb="FF00CCFF"/>
      <rgbColor rgb="FFDBEAFE"/>
      <rgbColor rgb="FFD1FAE5"/>
      <rgbColor rgb="FFFEF3C7"/>
      <rgbColor rgb="FFEEF2FF"/>
      <rgbColor rgb="FFF5F3FF"/>
      <rgbColor rgb="FFF1F5F9"/>
      <rgbColor rgb="FFFDE2E2"/>
      <rgbColor rgb="FF4F46E5"/>
      <rgbColor rgb="FF33CCCC"/>
      <rgbColor rgb="FF99CC00"/>
      <rgbColor rgb="FFFFCC00"/>
      <rgbColor rgb="FFFF9900"/>
      <rgbColor rgb="FFFF6600"/>
      <rgbColor rgb="FF64748B"/>
      <rgbColor rgb="FF969696"/>
      <rgbColor rgb="FF1E1B4B"/>
      <rgbColor rgb="FF339966"/>
      <rgbColor rgb="FF003300"/>
      <rgbColor rgb="FF333300"/>
      <rgbColor rgb="FF92400E"/>
      <rgbColor rgb="FF7C3AED"/>
      <rgbColor rgb="FF333399"/>
      <rgbColor rgb="FF1E293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8.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52"/>
    <col collapsed="false" customWidth="true" hidden="false" outlineLevel="0" max="3" min="3" style="0" width="30"/>
  </cols>
  <sheetData>
    <row r="1" customFormat="false" ht="21.75" hidden="false" customHeight="true" outlineLevel="0" collapsed="false">
      <c r="A1" s="1" t="s">
        <v>0</v>
      </c>
    </row>
    <row r="2" customFormat="false" ht="15.75" hidden="false" customHeight="true" outlineLevel="0" collapsed="false">
      <c r="A2" s="2" t="s">
        <v>1</v>
      </c>
    </row>
    <row r="4" customFormat="false" ht="15" hidden="false" customHeight="true" outlineLevel="0" collapsed="false">
      <c r="A4" s="3" t="s">
        <v>2</v>
      </c>
      <c r="B4" s="3"/>
      <c r="C4" s="3"/>
      <c r="D4" s="3"/>
      <c r="E4" s="3"/>
      <c r="F4" s="3"/>
    </row>
    <row r="5" customFormat="false" ht="15" hidden="false" customHeight="false" outlineLevel="0" collapsed="false">
      <c r="A5" s="3"/>
      <c r="B5" s="3"/>
      <c r="C5" s="3"/>
      <c r="D5" s="3"/>
      <c r="E5" s="3"/>
      <c r="F5" s="3"/>
    </row>
    <row r="7" customFormat="false" ht="15" hidden="false" customHeight="false" outlineLevel="0" collapsed="false">
      <c r="A7" s="4" t="s">
        <v>3</v>
      </c>
    </row>
    <row r="8" customFormat="false" ht="15" hidden="false" customHeight="false" outlineLevel="0" collapsed="false">
      <c r="A8" s="5" t="s">
        <v>4</v>
      </c>
      <c r="B8" s="6" t="s">
        <v>5</v>
      </c>
      <c r="C8" s="6" t="s">
        <v>6</v>
      </c>
    </row>
    <row r="9" customFormat="false" ht="15" hidden="false" customHeight="false" outlineLevel="0" collapsed="false">
      <c r="A9" s="7" t="s">
        <v>7</v>
      </c>
      <c r="B9" s="7" t="s">
        <v>8</v>
      </c>
      <c r="C9" s="8" t="n">
        <f aca="false">COUNTA('Use Case Portfolio'!C5:C29)</f>
        <v>25</v>
      </c>
    </row>
    <row r="10" customFormat="false" ht="15" hidden="false" customHeight="false" outlineLevel="0" collapsed="false">
      <c r="A10" s="9" t="s">
        <v>9</v>
      </c>
      <c r="B10" s="9" t="s">
        <v>10</v>
      </c>
      <c r="C10" s="10" t="n">
        <f aca="false">COUNTIF('Use Case Portfolio'!E5:E29,"T1")</f>
        <v>5</v>
      </c>
    </row>
    <row r="11" customFormat="false" ht="15" hidden="false" customHeight="false" outlineLevel="0" collapsed="false">
      <c r="A11" s="7" t="s">
        <v>11</v>
      </c>
      <c r="B11" s="7" t="s">
        <v>12</v>
      </c>
      <c r="C11" s="8" t="n">
        <f aca="false">COUNTIF('Use Case Portfolio'!E5:E29,"T2")</f>
        <v>13</v>
      </c>
    </row>
    <row r="12" customFormat="false" ht="15" hidden="false" customHeight="false" outlineLevel="0" collapsed="false">
      <c r="A12" s="9" t="s">
        <v>13</v>
      </c>
      <c r="B12" s="9" t="s">
        <v>14</v>
      </c>
      <c r="C12" s="10" t="n">
        <f aca="false">COUNTIF('Use Case Portfolio'!E5:E29,"T3")</f>
        <v>7</v>
      </c>
    </row>
    <row r="13" customFormat="false" ht="15" hidden="false" customHeight="false" outlineLevel="0" collapsed="false">
      <c r="A13" s="7" t="s">
        <v>15</v>
      </c>
      <c r="B13" s="7" t="s">
        <v>16</v>
      </c>
      <c r="C13" s="8" t="n">
        <f aca="false">COUNTIF('Use Case Portfolio'!D5:D29,"Knowledge &amp; RAG")</f>
        <v>12</v>
      </c>
    </row>
    <row r="14" customFormat="false" ht="15" hidden="false" customHeight="false" outlineLevel="0" collapsed="false">
      <c r="A14" s="9" t="s">
        <v>17</v>
      </c>
      <c r="B14" s="9" t="s">
        <v>16</v>
      </c>
      <c r="C14" s="10" t="n">
        <f aca="false">COUNTIF('Use Case Portfolio'!D5:D29,"Doc Intelligence")</f>
        <v>10</v>
      </c>
    </row>
    <row r="15" customFormat="false" ht="15" hidden="false" customHeight="false" outlineLevel="0" collapsed="false">
      <c r="A15" s="7" t="s">
        <v>18</v>
      </c>
      <c r="B15" s="7" t="s">
        <v>16</v>
      </c>
      <c r="C15" s="8" t="n">
        <f aca="false">COUNTIF('Use Case Portfolio'!D5:D29,"Workflow Agent")</f>
        <v>3</v>
      </c>
    </row>
    <row r="16" customFormat="false" ht="15" hidden="false" customHeight="false" outlineLevel="0" collapsed="false">
      <c r="A16" s="9" t="s">
        <v>19</v>
      </c>
      <c r="B16" s="9" t="s">
        <v>20</v>
      </c>
      <c r="C16" s="10" t="n">
        <f aca="false">COUNTIF('Use Case Portfolio'!K5:K29,"Required")</f>
        <v>13</v>
      </c>
    </row>
    <row r="17" customFormat="false" ht="15" hidden="false" customHeight="false" outlineLevel="0" collapsed="false">
      <c r="A17" s="7" t="s">
        <v>21</v>
      </c>
      <c r="B17" s="7" t="s">
        <v>22</v>
      </c>
      <c r="C17" s="8" t="n">
        <f aca="false">COUNTIF('Use Case Portfolio'!G5:G29,"W1")</f>
        <v>4</v>
      </c>
    </row>
    <row r="18" customFormat="false" ht="15" hidden="false" customHeight="false" outlineLevel="0" collapsed="false">
      <c r="A18" s="9" t="s">
        <v>23</v>
      </c>
      <c r="B18" s="9" t="s">
        <v>24</v>
      </c>
      <c r="C18" s="10" t="n">
        <f aca="false">COUNTIF('Use Case Portfolio'!G5:G29,"W2")</f>
        <v>11</v>
      </c>
    </row>
    <row r="19" customFormat="false" ht="15" hidden="false" customHeight="false" outlineLevel="0" collapsed="false">
      <c r="A19" s="7" t="s">
        <v>25</v>
      </c>
      <c r="B19" s="7" t="s">
        <v>26</v>
      </c>
      <c r="C19" s="8" t="n">
        <f aca="false">COUNTIF('Use Case Portfolio'!G5:G29,"W3")</f>
        <v>8</v>
      </c>
    </row>
    <row r="20" customFormat="false" ht="15" hidden="false" customHeight="false" outlineLevel="0" collapsed="false">
      <c r="A20" s="9" t="s">
        <v>27</v>
      </c>
      <c r="B20" s="9" t="s">
        <v>28</v>
      </c>
      <c r="C20" s="10" t="n">
        <f aca="false">COUNTIF('Use Case Portfolio'!G5:G29,"W4")</f>
        <v>2</v>
      </c>
    </row>
    <row r="22" customFormat="false" ht="15" hidden="false" customHeight="false" outlineLevel="0" collapsed="false">
      <c r="A22" s="4" t="s">
        <v>29</v>
      </c>
    </row>
    <row r="23" customFormat="false" ht="15" hidden="false" customHeight="false" outlineLevel="0" collapsed="false">
      <c r="A23" s="11" t="s">
        <v>30</v>
      </c>
      <c r="B23" s="12" t="s">
        <v>31</v>
      </c>
      <c r="C23" s="12" t="s">
        <v>32</v>
      </c>
    </row>
    <row r="24" customFormat="false" ht="23.85" hidden="false" customHeight="false" outlineLevel="0" collapsed="false">
      <c r="A24" s="13" t="s">
        <v>33</v>
      </c>
      <c r="B24" s="7" t="s">
        <v>34</v>
      </c>
      <c r="C24" s="7" t="s">
        <v>35</v>
      </c>
    </row>
    <row r="25" customFormat="false" ht="23.85" hidden="false" customHeight="false" outlineLevel="0" collapsed="false">
      <c r="A25" s="14" t="s">
        <v>36</v>
      </c>
      <c r="B25" s="9" t="s">
        <v>37</v>
      </c>
      <c r="C25" s="9" t="s">
        <v>38</v>
      </c>
    </row>
    <row r="26" customFormat="false" ht="23.85" hidden="false" customHeight="false" outlineLevel="0" collapsed="false">
      <c r="A26" s="13" t="s">
        <v>39</v>
      </c>
      <c r="B26" s="7" t="s">
        <v>40</v>
      </c>
      <c r="C26" s="7" t="s">
        <v>41</v>
      </c>
    </row>
    <row r="27" customFormat="false" ht="23.85" hidden="false" customHeight="false" outlineLevel="0" collapsed="false">
      <c r="A27" s="14" t="s">
        <v>42</v>
      </c>
      <c r="B27" s="9" t="s">
        <v>43</v>
      </c>
      <c r="C27" s="9" t="s">
        <v>44</v>
      </c>
    </row>
    <row r="28" customFormat="false" ht="23.85" hidden="false" customHeight="false" outlineLevel="0" collapsed="false">
      <c r="A28" s="13" t="s">
        <v>45</v>
      </c>
      <c r="B28" s="7" t="s">
        <v>46</v>
      </c>
      <c r="C28" s="7" t="s">
        <v>47</v>
      </c>
    </row>
    <row r="29" customFormat="false" ht="23.85" hidden="false" customHeight="false" outlineLevel="0" collapsed="false">
      <c r="A29" s="14" t="s">
        <v>48</v>
      </c>
      <c r="B29" s="9" t="s">
        <v>49</v>
      </c>
      <c r="C29" s="9" t="s">
        <v>50</v>
      </c>
    </row>
    <row r="30" customFormat="false" ht="23.85" hidden="false" customHeight="false" outlineLevel="0" collapsed="false">
      <c r="A30" s="13" t="s">
        <v>51</v>
      </c>
      <c r="B30" s="7" t="s">
        <v>52</v>
      </c>
      <c r="C30" s="7" t="s">
        <v>53</v>
      </c>
    </row>
  </sheetData>
  <mergeCells count="1">
    <mergeCell ref="A4:F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2"/>
    <col collapsed="false" customWidth="true" hidden="false" outlineLevel="0" max="3" min="3" style="0" width="22"/>
    <col collapsed="false" customWidth="true" hidden="false" outlineLevel="0" max="4" min="4" style="0" width="20"/>
    <col collapsed="false" customWidth="true" hidden="false" outlineLevel="0" max="5" min="5" style="0" width="36"/>
  </cols>
  <sheetData>
    <row r="1" customFormat="false" ht="21.75" hidden="false" customHeight="true" outlineLevel="0" collapsed="false">
      <c r="A1" s="1" t="s">
        <v>54</v>
      </c>
    </row>
    <row r="2" customFormat="false" ht="15.75" hidden="false" customHeight="true" outlineLevel="0" collapsed="false">
      <c r="A2" s="2" t="s">
        <v>55</v>
      </c>
    </row>
    <row r="4" customFormat="false" ht="13.5" hidden="false" customHeight="true" outlineLevel="0" collapsed="false">
      <c r="A4" s="15" t="s">
        <v>56</v>
      </c>
      <c r="B4" s="15"/>
      <c r="C4" s="15"/>
      <c r="D4" s="15"/>
      <c r="E4" s="15"/>
      <c r="F4" s="15"/>
      <c r="G4" s="15"/>
      <c r="H4" s="15"/>
      <c r="I4" s="15"/>
      <c r="J4" s="15"/>
      <c r="K4" s="15"/>
      <c r="L4" s="15"/>
    </row>
    <row r="5" customFormat="false" ht="13.5" hidden="false" customHeight="true" outlineLevel="0" collapsed="false">
      <c r="A5" s="15"/>
      <c r="B5" s="15"/>
      <c r="C5" s="15"/>
      <c r="D5" s="15"/>
      <c r="E5" s="15"/>
      <c r="F5" s="15"/>
      <c r="G5" s="15"/>
      <c r="H5" s="15"/>
      <c r="I5" s="15"/>
      <c r="J5" s="15"/>
      <c r="K5" s="15"/>
      <c r="L5" s="15"/>
    </row>
    <row r="6" customFormat="false" ht="13.5" hidden="false" customHeight="true" outlineLevel="0" collapsed="false">
      <c r="A6" s="15"/>
      <c r="B6" s="15"/>
      <c r="C6" s="15"/>
      <c r="D6" s="15"/>
      <c r="E6" s="15"/>
      <c r="F6" s="15"/>
      <c r="G6" s="15"/>
      <c r="H6" s="15"/>
      <c r="I6" s="15"/>
      <c r="J6" s="15"/>
      <c r="K6" s="15"/>
      <c r="L6" s="15"/>
    </row>
    <row r="7" customFormat="false" ht="13.5" hidden="false" customHeight="true" outlineLevel="0" collapsed="false">
      <c r="A7" s="15"/>
      <c r="B7" s="15"/>
      <c r="C7" s="15"/>
      <c r="D7" s="15"/>
      <c r="E7" s="15"/>
      <c r="F7" s="15"/>
      <c r="G7" s="15"/>
      <c r="H7" s="15"/>
      <c r="I7" s="15"/>
      <c r="J7" s="15"/>
      <c r="K7" s="15"/>
      <c r="L7" s="15"/>
    </row>
    <row r="8" customFormat="false" ht="13.5" hidden="false" customHeight="true" outlineLevel="0" collapsed="false">
      <c r="A8" s="15"/>
      <c r="B8" s="15"/>
      <c r="C8" s="15"/>
      <c r="D8" s="15"/>
      <c r="E8" s="15"/>
      <c r="F8" s="15"/>
      <c r="G8" s="15"/>
      <c r="H8" s="15"/>
      <c r="I8" s="15"/>
      <c r="J8" s="15"/>
      <c r="K8" s="15"/>
      <c r="L8" s="15"/>
    </row>
    <row r="9" customFormat="false" ht="13.5" hidden="false" customHeight="true" outlineLevel="0" collapsed="false">
      <c r="A9" s="15"/>
      <c r="B9" s="15"/>
      <c r="C9" s="15"/>
      <c r="D9" s="15"/>
      <c r="E9" s="15"/>
      <c r="F9" s="15"/>
      <c r="G9" s="15"/>
      <c r="H9" s="15"/>
      <c r="I9" s="15"/>
      <c r="J9" s="15"/>
      <c r="K9" s="15"/>
      <c r="L9" s="15"/>
    </row>
    <row r="10" customFormat="false" ht="13.5" hidden="false" customHeight="true" outlineLevel="0" collapsed="false">
      <c r="A10" s="15"/>
      <c r="B10" s="15"/>
      <c r="C10" s="15"/>
      <c r="D10" s="15"/>
      <c r="E10" s="15"/>
      <c r="F10" s="15"/>
      <c r="G10" s="15"/>
      <c r="H10" s="15"/>
      <c r="I10" s="15"/>
      <c r="J10" s="15"/>
      <c r="K10" s="15"/>
      <c r="L10" s="15"/>
    </row>
    <row r="12" customFormat="false" ht="15" hidden="false" customHeight="false" outlineLevel="0" collapsed="false">
      <c r="A12" s="4" t="s">
        <v>57</v>
      </c>
    </row>
    <row r="13" customFormat="false" ht="23.85" hidden="false" customHeight="false" outlineLevel="0" collapsed="false">
      <c r="A13" s="5" t="s">
        <v>58</v>
      </c>
      <c r="B13" s="6" t="s">
        <v>59</v>
      </c>
      <c r="C13" s="6" t="s">
        <v>60</v>
      </c>
    </row>
    <row r="14" customFormat="false" ht="57.45" hidden="false" customHeight="false" outlineLevel="0" collapsed="false">
      <c r="A14" s="13" t="s">
        <v>61</v>
      </c>
      <c r="B14" s="7" t="s">
        <v>62</v>
      </c>
      <c r="C14" s="7" t="s">
        <v>63</v>
      </c>
    </row>
    <row r="15" customFormat="false" ht="46.25" hidden="false" customHeight="false" outlineLevel="0" collapsed="false">
      <c r="A15" s="14" t="s">
        <v>64</v>
      </c>
      <c r="B15" s="9" t="s">
        <v>65</v>
      </c>
      <c r="C15" s="9" t="s">
        <v>66</v>
      </c>
    </row>
    <row r="16" customFormat="false" ht="57.45" hidden="false" customHeight="false" outlineLevel="0" collapsed="false">
      <c r="A16" s="13" t="s">
        <v>67</v>
      </c>
      <c r="B16" s="7" t="s">
        <v>68</v>
      </c>
      <c r="C16" s="7" t="s">
        <v>69</v>
      </c>
    </row>
    <row r="18" customFormat="false" ht="15" hidden="false" customHeight="false" outlineLevel="0" collapsed="false">
      <c r="A18" s="4" t="s">
        <v>70</v>
      </c>
    </row>
    <row r="19" customFormat="false" ht="15" hidden="false" customHeight="false" outlineLevel="0" collapsed="false">
      <c r="A19" s="11" t="s">
        <v>71</v>
      </c>
      <c r="B19" s="12" t="s">
        <v>72</v>
      </c>
      <c r="C19" s="12" t="s">
        <v>30</v>
      </c>
      <c r="D19" s="12" t="s">
        <v>58</v>
      </c>
      <c r="E19" s="12" t="s">
        <v>73</v>
      </c>
    </row>
    <row r="20" customFormat="false" ht="23.85" hidden="false" customHeight="false" outlineLevel="0" collapsed="false">
      <c r="A20" s="7" t="s">
        <v>74</v>
      </c>
      <c r="B20" s="16" t="s">
        <v>75</v>
      </c>
      <c r="C20" s="7" t="s">
        <v>36</v>
      </c>
      <c r="D20" s="7" t="s">
        <v>76</v>
      </c>
      <c r="E20" s="7" t="s">
        <v>77</v>
      </c>
    </row>
    <row r="21" customFormat="false" ht="23.85" hidden="false" customHeight="false" outlineLevel="0" collapsed="false">
      <c r="A21" s="9" t="s">
        <v>78</v>
      </c>
      <c r="B21" s="17" t="s">
        <v>79</v>
      </c>
      <c r="C21" s="9" t="s">
        <v>39</v>
      </c>
      <c r="D21" s="9" t="s">
        <v>64</v>
      </c>
      <c r="E21" s="9" t="s">
        <v>80</v>
      </c>
    </row>
    <row r="22" customFormat="false" ht="23.85" hidden="false" customHeight="false" outlineLevel="0" collapsed="false">
      <c r="A22" s="7" t="s">
        <v>81</v>
      </c>
      <c r="B22" s="16" t="s">
        <v>82</v>
      </c>
      <c r="C22" s="7" t="s">
        <v>42</v>
      </c>
      <c r="D22" s="7" t="s">
        <v>83</v>
      </c>
      <c r="E22" s="7" t="s">
        <v>84</v>
      </c>
    </row>
    <row r="23" customFormat="false" ht="23.85" hidden="false" customHeight="false" outlineLevel="0" collapsed="false">
      <c r="A23" s="9" t="s">
        <v>85</v>
      </c>
      <c r="B23" s="17" t="s">
        <v>86</v>
      </c>
      <c r="C23" s="9" t="s">
        <v>45</v>
      </c>
      <c r="D23" s="9" t="s">
        <v>47</v>
      </c>
      <c r="E23" s="9" t="s">
        <v>87</v>
      </c>
    </row>
    <row r="24" customFormat="false" ht="23.85" hidden="false" customHeight="false" outlineLevel="0" collapsed="false">
      <c r="A24" s="7" t="s">
        <v>88</v>
      </c>
      <c r="B24" s="16" t="s">
        <v>89</v>
      </c>
      <c r="C24" s="7" t="s">
        <v>51</v>
      </c>
      <c r="D24" s="7" t="s">
        <v>64</v>
      </c>
      <c r="E24" s="7" t="s">
        <v>90</v>
      </c>
    </row>
    <row r="26" customFormat="false" ht="15" hidden="false" customHeight="false" outlineLevel="0" collapsed="false">
      <c r="A26" s="4" t="s">
        <v>91</v>
      </c>
    </row>
    <row r="27" customFormat="false" ht="23.85" hidden="false" customHeight="false" outlineLevel="0" collapsed="false">
      <c r="A27" s="18" t="s">
        <v>92</v>
      </c>
      <c r="B27" s="19" t="s">
        <v>93</v>
      </c>
      <c r="C27" s="19" t="s">
        <v>94</v>
      </c>
      <c r="D27" s="19" t="s">
        <v>95</v>
      </c>
    </row>
    <row r="28" customFormat="false" ht="68.65" hidden="false" customHeight="false" outlineLevel="0" collapsed="false">
      <c r="A28" s="14" t="s">
        <v>96</v>
      </c>
      <c r="B28" s="9" t="s">
        <v>97</v>
      </c>
      <c r="C28" s="9" t="s">
        <v>98</v>
      </c>
      <c r="D28" s="9" t="s">
        <v>99</v>
      </c>
    </row>
    <row r="29" customFormat="false" ht="91" hidden="false" customHeight="false" outlineLevel="0" collapsed="false">
      <c r="A29" s="20" t="s">
        <v>100</v>
      </c>
      <c r="B29" s="21" t="s">
        <v>101</v>
      </c>
      <c r="C29" s="21" t="s">
        <v>102</v>
      </c>
      <c r="D29" s="21" t="s">
        <v>103</v>
      </c>
    </row>
    <row r="30" customFormat="false" ht="79.85" hidden="false" customHeight="false" outlineLevel="0" collapsed="false">
      <c r="A30" s="22" t="s">
        <v>104</v>
      </c>
      <c r="B30" s="23" t="s">
        <v>105</v>
      </c>
      <c r="C30" s="23" t="s">
        <v>106</v>
      </c>
      <c r="D30" s="23" t="s">
        <v>107</v>
      </c>
    </row>
    <row r="31" customFormat="false" ht="91" hidden="false" customHeight="false" outlineLevel="0" collapsed="false">
      <c r="A31" s="24" t="s">
        <v>108</v>
      </c>
      <c r="B31" s="25" t="s">
        <v>109</v>
      </c>
      <c r="C31" s="25" t="s">
        <v>110</v>
      </c>
      <c r="D31" s="25" t="s">
        <v>111</v>
      </c>
    </row>
    <row r="33" customFormat="false" ht="15" hidden="false" customHeight="false" outlineLevel="0" collapsed="false">
      <c r="A33" s="4" t="s">
        <v>112</v>
      </c>
    </row>
    <row r="34" customFormat="false" ht="23.85" hidden="false" customHeight="false" outlineLevel="0" collapsed="false">
      <c r="A34" s="5" t="s">
        <v>113</v>
      </c>
      <c r="B34" s="6" t="s">
        <v>114</v>
      </c>
      <c r="C34" s="6" t="s">
        <v>115</v>
      </c>
    </row>
    <row r="35" customFormat="false" ht="46.25" hidden="false" customHeight="false" outlineLevel="0" collapsed="false">
      <c r="A35" s="13" t="s">
        <v>116</v>
      </c>
      <c r="B35" s="7" t="s">
        <v>117</v>
      </c>
      <c r="C35" s="7" t="s">
        <v>118</v>
      </c>
    </row>
    <row r="36" customFormat="false" ht="68.65" hidden="false" customHeight="false" outlineLevel="0" collapsed="false">
      <c r="A36" s="14" t="s">
        <v>119</v>
      </c>
      <c r="B36" s="9" t="s">
        <v>120</v>
      </c>
      <c r="C36" s="9" t="s">
        <v>121</v>
      </c>
    </row>
    <row r="37" customFormat="false" ht="35.05" hidden="false" customHeight="false" outlineLevel="0" collapsed="false">
      <c r="A37" s="13" t="s">
        <v>122</v>
      </c>
      <c r="B37" s="7" t="s">
        <v>123</v>
      </c>
      <c r="C37" s="7" t="s">
        <v>124</v>
      </c>
    </row>
    <row r="38" customFormat="false" ht="46.25" hidden="false" customHeight="false" outlineLevel="0" collapsed="false">
      <c r="A38" s="14" t="s">
        <v>125</v>
      </c>
      <c r="B38" s="9" t="s">
        <v>126</v>
      </c>
      <c r="C38" s="9" t="s">
        <v>127</v>
      </c>
    </row>
    <row r="39" customFormat="false" ht="35.05" hidden="false" customHeight="false" outlineLevel="0" collapsed="false">
      <c r="A39" s="13" t="s">
        <v>128</v>
      </c>
      <c r="B39" s="7" t="s">
        <v>129</v>
      </c>
      <c r="C39" s="7" t="s">
        <v>130</v>
      </c>
    </row>
    <row r="40" customFormat="false" ht="46.25" hidden="false" customHeight="false" outlineLevel="0" collapsed="false">
      <c r="A40" s="14" t="s">
        <v>131</v>
      </c>
      <c r="B40" s="9" t="s">
        <v>132</v>
      </c>
      <c r="C40" s="9" t="s">
        <v>133</v>
      </c>
    </row>
  </sheetData>
  <mergeCells count="1">
    <mergeCell ref="A4:L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52"/>
    <col collapsed="false" customWidth="true" hidden="false" outlineLevel="0" max="3" min="3" style="0" width="46"/>
    <col collapsed="false" customWidth="true" hidden="false" outlineLevel="0" max="4" min="4" style="0" width="22"/>
  </cols>
  <sheetData>
    <row r="1" customFormat="false" ht="21.75" hidden="false" customHeight="true" outlineLevel="0" collapsed="false">
      <c r="A1" s="1" t="s">
        <v>134</v>
      </c>
    </row>
    <row r="2" customFormat="false" ht="15.75" hidden="false" customHeight="true" outlineLevel="0" collapsed="false">
      <c r="A2" s="2" t="s">
        <v>135</v>
      </c>
    </row>
    <row r="4" customFormat="false" ht="15" hidden="false" customHeight="false" outlineLevel="0" collapsed="false">
      <c r="A4" s="4" t="s">
        <v>136</v>
      </c>
    </row>
    <row r="5" customFormat="false" ht="79.85" hidden="false" customHeight="false" outlineLevel="0" collapsed="false">
      <c r="A5" s="26" t="s">
        <v>137</v>
      </c>
    </row>
    <row r="6" customFormat="false" ht="15" hidden="false" customHeight="false" outlineLevel="0" collapsed="false">
      <c r="A6" s="5" t="s">
        <v>138</v>
      </c>
      <c r="B6" s="6" t="s">
        <v>139</v>
      </c>
      <c r="C6" s="6" t="s">
        <v>140</v>
      </c>
      <c r="D6" s="6" t="s">
        <v>141</v>
      </c>
      <c r="E6" s="6" t="s">
        <v>142</v>
      </c>
    </row>
    <row r="7" customFormat="false" ht="46.25" hidden="false" customHeight="false" outlineLevel="0" collapsed="false">
      <c r="A7" s="13" t="s">
        <v>143</v>
      </c>
      <c r="B7" s="7" t="s">
        <v>144</v>
      </c>
      <c r="C7" s="7" t="s">
        <v>145</v>
      </c>
      <c r="D7" s="7" t="s">
        <v>146</v>
      </c>
      <c r="E7" s="7" t="s">
        <v>147</v>
      </c>
    </row>
    <row r="8" customFormat="false" ht="46.25" hidden="false" customHeight="false" outlineLevel="0" collapsed="false">
      <c r="A8" s="14" t="s">
        <v>148</v>
      </c>
      <c r="B8" s="9" t="s">
        <v>149</v>
      </c>
      <c r="C8" s="9" t="s">
        <v>150</v>
      </c>
      <c r="D8" s="9" t="s">
        <v>146</v>
      </c>
      <c r="E8" s="9" t="s">
        <v>147</v>
      </c>
    </row>
    <row r="9" customFormat="false" ht="35.05" hidden="false" customHeight="false" outlineLevel="0" collapsed="false">
      <c r="A9" s="13" t="s">
        <v>151</v>
      </c>
      <c r="B9" s="7" t="s">
        <v>152</v>
      </c>
      <c r="C9" s="7" t="s">
        <v>153</v>
      </c>
      <c r="D9" s="7" t="s">
        <v>146</v>
      </c>
      <c r="E9" s="7" t="s">
        <v>147</v>
      </c>
    </row>
    <row r="10" customFormat="false" ht="46.25" hidden="false" customHeight="false" outlineLevel="0" collapsed="false">
      <c r="A10" s="14" t="s">
        <v>154</v>
      </c>
      <c r="B10" s="9" t="s">
        <v>155</v>
      </c>
      <c r="C10" s="9" t="s">
        <v>156</v>
      </c>
      <c r="D10" s="9" t="s">
        <v>146</v>
      </c>
      <c r="E10" s="9" t="s">
        <v>147</v>
      </c>
    </row>
    <row r="11" customFormat="false" ht="46.25" hidden="false" customHeight="false" outlineLevel="0" collapsed="false">
      <c r="A11" s="13" t="s">
        <v>157</v>
      </c>
      <c r="B11" s="7" t="s">
        <v>158</v>
      </c>
      <c r="C11" s="7" t="s">
        <v>159</v>
      </c>
      <c r="D11" s="7" t="s">
        <v>160</v>
      </c>
      <c r="E11" s="7" t="s">
        <v>147</v>
      </c>
    </row>
    <row r="12" customFormat="false" ht="57.45" hidden="false" customHeight="false" outlineLevel="0" collapsed="false">
      <c r="A12" s="14" t="s">
        <v>161</v>
      </c>
      <c r="B12" s="9" t="s">
        <v>162</v>
      </c>
      <c r="C12" s="9" t="s">
        <v>163</v>
      </c>
      <c r="D12" s="9" t="s">
        <v>164</v>
      </c>
      <c r="E12" s="9" t="s">
        <v>165</v>
      </c>
    </row>
    <row r="13" customFormat="false" ht="57.45" hidden="false" customHeight="false" outlineLevel="0" collapsed="false">
      <c r="A13" s="13" t="s">
        <v>45</v>
      </c>
      <c r="B13" s="7" t="s">
        <v>166</v>
      </c>
      <c r="C13" s="7" t="s">
        <v>167</v>
      </c>
      <c r="D13" s="7" t="s">
        <v>146</v>
      </c>
      <c r="E13" s="7" t="s">
        <v>147</v>
      </c>
    </row>
    <row r="14" customFormat="false" ht="57.45" hidden="false" customHeight="false" outlineLevel="0" collapsed="false">
      <c r="A14" s="14" t="s">
        <v>168</v>
      </c>
      <c r="B14" s="9" t="s">
        <v>169</v>
      </c>
      <c r="C14" s="9" t="s">
        <v>170</v>
      </c>
      <c r="D14" s="9" t="s">
        <v>146</v>
      </c>
      <c r="E14" s="9" t="s">
        <v>147</v>
      </c>
    </row>
    <row r="16" customFormat="false" ht="15" hidden="false" customHeight="false" outlineLevel="0" collapsed="false">
      <c r="A16" s="4" t="s">
        <v>171</v>
      </c>
    </row>
    <row r="17" customFormat="false" ht="15" hidden="false" customHeight="false" outlineLevel="0" collapsed="false">
      <c r="A17" s="11" t="s">
        <v>92</v>
      </c>
      <c r="B17" s="12" t="s">
        <v>172</v>
      </c>
      <c r="C17" s="12" t="s">
        <v>173</v>
      </c>
      <c r="D17" s="12" t="s">
        <v>174</v>
      </c>
    </row>
    <row r="18" customFormat="false" ht="79.85" hidden="false" customHeight="false" outlineLevel="0" collapsed="false">
      <c r="A18" s="20" t="s">
        <v>96</v>
      </c>
      <c r="B18" s="21" t="s">
        <v>175</v>
      </c>
      <c r="C18" s="21" t="s">
        <v>176</v>
      </c>
      <c r="D18" s="21" t="s">
        <v>177</v>
      </c>
    </row>
    <row r="19" customFormat="false" ht="68.65" hidden="false" customHeight="false" outlineLevel="0" collapsed="false">
      <c r="A19" s="14" t="s">
        <v>100</v>
      </c>
      <c r="B19" s="9" t="s">
        <v>178</v>
      </c>
      <c r="C19" s="9" t="s">
        <v>179</v>
      </c>
      <c r="D19" s="9" t="s">
        <v>180</v>
      </c>
    </row>
    <row r="20" customFormat="false" ht="79.85" hidden="false" customHeight="false" outlineLevel="0" collapsed="false">
      <c r="A20" s="22" t="s">
        <v>104</v>
      </c>
      <c r="B20" s="23" t="s">
        <v>181</v>
      </c>
      <c r="C20" s="23" t="s">
        <v>182</v>
      </c>
      <c r="D20" s="23" t="s">
        <v>183</v>
      </c>
    </row>
    <row r="21" customFormat="false" ht="68.65" hidden="false" customHeight="false" outlineLevel="0" collapsed="false">
      <c r="A21" s="24" t="s">
        <v>108</v>
      </c>
      <c r="B21" s="25" t="s">
        <v>184</v>
      </c>
      <c r="C21" s="25" t="s">
        <v>185</v>
      </c>
      <c r="D21" s="25" t="s">
        <v>186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6" topLeftCell="A5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0"/>
    <col collapsed="false" customWidth="true" hidden="false" outlineLevel="0" max="3" min="3" style="0" width="28"/>
    <col collapsed="false" customWidth="true" hidden="false" outlineLevel="0" max="6" min="4" style="0" width="9"/>
    <col collapsed="false" customWidth="true" hidden="false" outlineLevel="0" max="7" min="7" style="0" width="62"/>
  </cols>
  <sheetData>
    <row r="1" customFormat="false" ht="21.75" hidden="false" customHeight="true" outlineLevel="0" collapsed="false">
      <c r="A1" s="1" t="s">
        <v>187</v>
      </c>
    </row>
    <row r="2" customFormat="false" ht="15.75" hidden="false" customHeight="true" outlineLevel="0" collapsed="false">
      <c r="A2" s="2" t="s">
        <v>188</v>
      </c>
    </row>
    <row r="4" customFormat="false" ht="15" hidden="false" customHeight="false" outlineLevel="0" collapsed="false">
      <c r="A4" s="27" t="s">
        <v>189</v>
      </c>
      <c r="B4" s="27"/>
      <c r="C4" s="27"/>
      <c r="D4" s="27"/>
      <c r="E4" s="27"/>
      <c r="F4" s="27"/>
      <c r="G4" s="27"/>
      <c r="H4" s="27"/>
    </row>
    <row r="5" customFormat="false" ht="15" hidden="false" customHeight="true" outlineLevel="0" collapsed="false">
      <c r="A5" s="28" t="s">
        <v>190</v>
      </c>
      <c r="B5" s="28"/>
      <c r="C5" s="28"/>
      <c r="D5" s="28"/>
      <c r="E5" s="28"/>
      <c r="F5" s="28"/>
      <c r="G5" s="28"/>
      <c r="H5" s="28"/>
    </row>
    <row r="6" customFormat="false" ht="15" hidden="false" customHeight="false" outlineLevel="0" collapsed="false">
      <c r="A6" s="29" t="s">
        <v>191</v>
      </c>
      <c r="D6" s="30" t="s">
        <v>192</v>
      </c>
      <c r="G6" s="31" t="s">
        <v>193</v>
      </c>
    </row>
    <row r="7" customFormat="false" ht="15" hidden="false" customHeight="true" outlineLevel="0" collapsed="false">
      <c r="A7" s="32" t="s">
        <v>194</v>
      </c>
      <c r="B7" s="32"/>
      <c r="C7" s="32"/>
      <c r="D7" s="32" t="s">
        <v>195</v>
      </c>
      <c r="E7" s="32"/>
      <c r="F7" s="32"/>
      <c r="G7" s="33" t="s">
        <v>196</v>
      </c>
      <c r="H7" s="33"/>
    </row>
    <row r="8" customFormat="false" ht="23.85" hidden="false" customHeight="true" outlineLevel="0" collapsed="false">
      <c r="A8" s="32" t="s">
        <v>197</v>
      </c>
      <c r="B8" s="32"/>
      <c r="C8" s="32"/>
      <c r="D8" s="32" t="s">
        <v>198</v>
      </c>
      <c r="E8" s="32"/>
      <c r="F8" s="32"/>
      <c r="G8" s="33"/>
      <c r="H8" s="33"/>
    </row>
    <row r="9" customFormat="false" ht="15" hidden="false" customHeight="true" outlineLevel="0" collapsed="false">
      <c r="A9" s="32" t="s">
        <v>199</v>
      </c>
      <c r="B9" s="32"/>
      <c r="C9" s="32"/>
      <c r="G9" s="33"/>
      <c r="H9" s="33"/>
    </row>
    <row r="10" customFormat="false" ht="15" hidden="false" customHeight="true" outlineLevel="0" collapsed="false">
      <c r="A10" s="32" t="s">
        <v>200</v>
      </c>
      <c r="B10" s="32"/>
      <c r="C10" s="32"/>
      <c r="G10" s="33"/>
      <c r="H10" s="33"/>
    </row>
    <row r="11" customFormat="false" ht="15" hidden="false" customHeight="true" outlineLevel="0" collapsed="false">
      <c r="A11" s="32" t="s">
        <v>201</v>
      </c>
      <c r="B11" s="32"/>
      <c r="C11" s="32"/>
      <c r="G11" s="33"/>
      <c r="H11" s="33"/>
    </row>
    <row r="13" customFormat="false" ht="15" hidden="false" customHeight="false" outlineLevel="0" collapsed="false">
      <c r="A13" s="34" t="s">
        <v>202</v>
      </c>
      <c r="B13" s="34"/>
      <c r="C13" s="34"/>
      <c r="D13" s="34"/>
      <c r="E13" s="34"/>
      <c r="F13" s="34"/>
      <c r="G13" s="34"/>
      <c r="H13" s="34"/>
    </row>
    <row r="14" customFormat="false" ht="15" hidden="false" customHeight="true" outlineLevel="0" collapsed="false">
      <c r="A14" s="28" t="s">
        <v>203</v>
      </c>
      <c r="B14" s="28"/>
      <c r="C14" s="28"/>
      <c r="D14" s="28"/>
      <c r="E14" s="28"/>
      <c r="F14" s="28"/>
      <c r="G14" s="28"/>
      <c r="H14" s="28"/>
    </row>
    <row r="15" customFormat="false" ht="15" hidden="false" customHeight="false" outlineLevel="0" collapsed="false">
      <c r="A15" s="29" t="s">
        <v>191</v>
      </c>
      <c r="D15" s="30" t="s">
        <v>192</v>
      </c>
      <c r="G15" s="31" t="s">
        <v>193</v>
      </c>
    </row>
    <row r="16" customFormat="false" ht="15" hidden="false" customHeight="true" outlineLevel="0" collapsed="false">
      <c r="A16" s="32" t="s">
        <v>204</v>
      </c>
      <c r="B16" s="32"/>
      <c r="C16" s="32"/>
      <c r="D16" s="32" t="s">
        <v>205</v>
      </c>
      <c r="E16" s="32"/>
      <c r="F16" s="32"/>
      <c r="G16" s="33" t="s">
        <v>206</v>
      </c>
      <c r="H16" s="33"/>
    </row>
    <row r="17" customFormat="false" ht="15" hidden="false" customHeight="true" outlineLevel="0" collapsed="false">
      <c r="A17" s="32" t="s">
        <v>207</v>
      </c>
      <c r="B17" s="32"/>
      <c r="C17" s="32"/>
      <c r="D17" s="32" t="s">
        <v>208</v>
      </c>
      <c r="E17" s="32"/>
      <c r="F17" s="32"/>
      <c r="G17" s="33"/>
      <c r="H17" s="33"/>
    </row>
    <row r="18" customFormat="false" ht="23.85" hidden="false" customHeight="true" outlineLevel="0" collapsed="false">
      <c r="A18" s="32" t="s">
        <v>209</v>
      </c>
      <c r="B18" s="32"/>
      <c r="C18" s="32"/>
      <c r="D18" s="32" t="s">
        <v>210</v>
      </c>
      <c r="E18" s="32"/>
      <c r="F18" s="32"/>
      <c r="G18" s="33"/>
      <c r="H18" s="33"/>
    </row>
    <row r="19" customFormat="false" ht="15" hidden="false" customHeight="true" outlineLevel="0" collapsed="false">
      <c r="A19" s="32" t="s">
        <v>211</v>
      </c>
      <c r="B19" s="32"/>
      <c r="C19" s="32"/>
      <c r="G19" s="33"/>
      <c r="H19" s="33"/>
    </row>
    <row r="20" customFormat="false" ht="15" hidden="false" customHeight="true" outlineLevel="0" collapsed="false">
      <c r="A20" s="32" t="s">
        <v>212</v>
      </c>
      <c r="B20" s="32"/>
      <c r="C20" s="32"/>
      <c r="G20" s="33"/>
      <c r="H20" s="33"/>
    </row>
    <row r="21" customFormat="false" ht="15" hidden="false" customHeight="true" outlineLevel="0" collapsed="false">
      <c r="A21" s="32" t="s">
        <v>213</v>
      </c>
      <c r="B21" s="32"/>
      <c r="C21" s="32"/>
      <c r="G21" s="33"/>
      <c r="H21" s="33"/>
    </row>
    <row r="23" customFormat="false" ht="15" hidden="false" customHeight="false" outlineLevel="0" collapsed="false">
      <c r="A23" s="35" t="s">
        <v>214</v>
      </c>
      <c r="B23" s="35"/>
      <c r="C23" s="35"/>
      <c r="D23" s="35"/>
      <c r="E23" s="35"/>
      <c r="F23" s="35"/>
      <c r="G23" s="35"/>
      <c r="H23" s="35"/>
    </row>
    <row r="24" customFormat="false" ht="15" hidden="false" customHeight="true" outlineLevel="0" collapsed="false">
      <c r="A24" s="28" t="s">
        <v>215</v>
      </c>
      <c r="B24" s="28"/>
      <c r="C24" s="28"/>
      <c r="D24" s="28"/>
      <c r="E24" s="28"/>
      <c r="F24" s="28"/>
      <c r="G24" s="28"/>
      <c r="H24" s="28"/>
    </row>
    <row r="25" customFormat="false" ht="15" hidden="false" customHeight="false" outlineLevel="0" collapsed="false">
      <c r="A25" s="29" t="s">
        <v>191</v>
      </c>
      <c r="D25" s="30" t="s">
        <v>192</v>
      </c>
      <c r="G25" s="31" t="s">
        <v>193</v>
      </c>
    </row>
    <row r="26" customFormat="false" ht="15" hidden="false" customHeight="true" outlineLevel="0" collapsed="false">
      <c r="A26" s="32" t="s">
        <v>216</v>
      </c>
      <c r="B26" s="32"/>
      <c r="C26" s="32"/>
      <c r="D26" s="32" t="s">
        <v>217</v>
      </c>
      <c r="E26" s="32"/>
      <c r="F26" s="32"/>
      <c r="G26" s="33" t="s">
        <v>218</v>
      </c>
      <c r="H26" s="33"/>
    </row>
    <row r="27" customFormat="false" ht="23.85" hidden="false" customHeight="true" outlineLevel="0" collapsed="false">
      <c r="A27" s="32" t="s">
        <v>219</v>
      </c>
      <c r="B27" s="32"/>
      <c r="C27" s="32"/>
      <c r="D27" s="32" t="s">
        <v>220</v>
      </c>
      <c r="E27" s="32"/>
      <c r="F27" s="32"/>
      <c r="G27" s="33"/>
      <c r="H27" s="33"/>
    </row>
    <row r="28" customFormat="false" ht="23.85" hidden="false" customHeight="true" outlineLevel="0" collapsed="false">
      <c r="A28" s="32" t="s">
        <v>221</v>
      </c>
      <c r="B28" s="32"/>
      <c r="C28" s="32"/>
      <c r="D28" s="32" t="s">
        <v>222</v>
      </c>
      <c r="E28" s="32"/>
      <c r="F28" s="32"/>
      <c r="G28" s="33"/>
      <c r="H28" s="33"/>
    </row>
    <row r="29" customFormat="false" ht="15" hidden="false" customHeight="true" outlineLevel="0" collapsed="false">
      <c r="A29" s="32" t="s">
        <v>223</v>
      </c>
      <c r="B29" s="32"/>
      <c r="C29" s="32"/>
      <c r="G29" s="33"/>
      <c r="H29" s="33"/>
    </row>
    <row r="30" customFormat="false" ht="15" hidden="false" customHeight="true" outlineLevel="0" collapsed="false">
      <c r="A30" s="32" t="s">
        <v>224</v>
      </c>
      <c r="B30" s="32"/>
      <c r="C30" s="32"/>
      <c r="G30" s="33"/>
      <c r="H30" s="33"/>
    </row>
    <row r="31" customFormat="false" ht="15" hidden="false" customHeight="true" outlineLevel="0" collapsed="false">
      <c r="A31" s="32" t="s">
        <v>225</v>
      </c>
      <c r="B31" s="32"/>
      <c r="C31" s="32"/>
      <c r="G31" s="33"/>
      <c r="H31" s="33"/>
    </row>
    <row r="32" customFormat="false" ht="15" hidden="false" customHeight="true" outlineLevel="0" collapsed="false">
      <c r="A32" s="32" t="s">
        <v>226</v>
      </c>
      <c r="B32" s="32"/>
      <c r="C32" s="32"/>
      <c r="G32" s="33"/>
      <c r="H32" s="33"/>
    </row>
    <row r="34" customFormat="false" ht="15" hidden="false" customHeight="false" outlineLevel="0" collapsed="false">
      <c r="A34" s="36" t="s">
        <v>227</v>
      </c>
      <c r="B34" s="36"/>
      <c r="C34" s="36"/>
      <c r="D34" s="36"/>
      <c r="E34" s="36"/>
      <c r="F34" s="36"/>
      <c r="G34" s="36"/>
      <c r="H34" s="36"/>
    </row>
    <row r="35" customFormat="false" ht="15" hidden="false" customHeight="true" outlineLevel="0" collapsed="false">
      <c r="A35" s="28" t="s">
        <v>228</v>
      </c>
      <c r="B35" s="28"/>
      <c r="C35" s="28"/>
      <c r="D35" s="28"/>
      <c r="E35" s="28"/>
      <c r="F35" s="28"/>
      <c r="G35" s="28"/>
      <c r="H35" s="28"/>
    </row>
    <row r="36" customFormat="false" ht="15" hidden="false" customHeight="false" outlineLevel="0" collapsed="false">
      <c r="A36" s="29" t="s">
        <v>191</v>
      </c>
      <c r="D36" s="30" t="s">
        <v>192</v>
      </c>
      <c r="G36" s="31" t="s">
        <v>193</v>
      </c>
    </row>
    <row r="37" customFormat="false" ht="23.85" hidden="false" customHeight="true" outlineLevel="0" collapsed="false">
      <c r="A37" s="32" t="s">
        <v>229</v>
      </c>
      <c r="B37" s="32"/>
      <c r="C37" s="32"/>
      <c r="D37" s="32" t="s">
        <v>230</v>
      </c>
      <c r="E37" s="32"/>
      <c r="F37" s="32"/>
      <c r="G37" s="33" t="s">
        <v>231</v>
      </c>
      <c r="H37" s="33"/>
    </row>
    <row r="38" customFormat="false" ht="23.85" hidden="false" customHeight="true" outlineLevel="0" collapsed="false">
      <c r="A38" s="32" t="s">
        <v>232</v>
      </c>
      <c r="B38" s="32"/>
      <c r="C38" s="32"/>
      <c r="D38" s="32" t="s">
        <v>233</v>
      </c>
      <c r="E38" s="32"/>
      <c r="F38" s="32"/>
      <c r="G38" s="33"/>
      <c r="H38" s="33"/>
    </row>
    <row r="39" customFormat="false" ht="23.85" hidden="false" customHeight="true" outlineLevel="0" collapsed="false">
      <c r="A39" s="32" t="s">
        <v>234</v>
      </c>
      <c r="B39" s="32"/>
      <c r="C39" s="32"/>
      <c r="D39" s="32" t="s">
        <v>235</v>
      </c>
      <c r="E39" s="32"/>
      <c r="F39" s="32"/>
      <c r="G39" s="33"/>
      <c r="H39" s="33"/>
    </row>
    <row r="40" customFormat="false" ht="15" hidden="false" customHeight="true" outlineLevel="0" collapsed="false">
      <c r="A40" s="32" t="s">
        <v>236</v>
      </c>
      <c r="B40" s="32"/>
      <c r="C40" s="32"/>
      <c r="G40" s="33"/>
      <c r="H40" s="33"/>
    </row>
    <row r="41" customFormat="false" ht="15" hidden="false" customHeight="true" outlineLevel="0" collapsed="false">
      <c r="A41" s="32" t="s">
        <v>237</v>
      </c>
      <c r="B41" s="32"/>
      <c r="C41" s="32"/>
      <c r="G41" s="33"/>
      <c r="H41" s="33"/>
    </row>
    <row r="42" customFormat="false" ht="15" hidden="false" customHeight="true" outlineLevel="0" collapsed="false">
      <c r="A42" s="32" t="s">
        <v>238</v>
      </c>
      <c r="B42" s="32"/>
      <c r="C42" s="32"/>
      <c r="G42" s="33"/>
      <c r="H42" s="33"/>
    </row>
    <row r="43" customFormat="false" ht="15" hidden="false" customHeight="true" outlineLevel="0" collapsed="false">
      <c r="A43" s="32" t="s">
        <v>239</v>
      </c>
      <c r="B43" s="32"/>
      <c r="C43" s="32"/>
      <c r="G43" s="33"/>
      <c r="H43" s="33"/>
    </row>
    <row r="45" customFormat="false" ht="15" hidden="false" customHeight="false" outlineLevel="0" collapsed="false">
      <c r="A45" s="37" t="s">
        <v>240</v>
      </c>
      <c r="B45" s="37"/>
      <c r="C45" s="37"/>
      <c r="D45" s="37"/>
      <c r="E45" s="37"/>
      <c r="F45" s="37"/>
      <c r="G45" s="37"/>
      <c r="H45" s="37"/>
    </row>
    <row r="46" customFormat="false" ht="15" hidden="false" customHeight="true" outlineLevel="0" collapsed="false">
      <c r="A46" s="28" t="s">
        <v>241</v>
      </c>
      <c r="B46" s="28"/>
      <c r="C46" s="28"/>
      <c r="D46" s="28"/>
      <c r="E46" s="28"/>
      <c r="F46" s="28"/>
      <c r="G46" s="28"/>
      <c r="H46" s="28"/>
    </row>
    <row r="47" customFormat="false" ht="15" hidden="false" customHeight="false" outlineLevel="0" collapsed="false">
      <c r="A47" s="29" t="s">
        <v>191</v>
      </c>
      <c r="D47" s="30" t="s">
        <v>192</v>
      </c>
      <c r="G47" s="31" t="s">
        <v>193</v>
      </c>
    </row>
    <row r="48" customFormat="false" ht="35.05" hidden="false" customHeight="true" outlineLevel="0" collapsed="false">
      <c r="A48" s="32" t="s">
        <v>242</v>
      </c>
      <c r="B48" s="32"/>
      <c r="C48" s="32"/>
      <c r="D48" s="32" t="s">
        <v>243</v>
      </c>
      <c r="E48" s="32"/>
      <c r="F48" s="32"/>
      <c r="G48" s="33" t="s">
        <v>244</v>
      </c>
      <c r="H48" s="33"/>
    </row>
    <row r="49" customFormat="false" ht="23.85" hidden="false" customHeight="true" outlineLevel="0" collapsed="false">
      <c r="A49" s="32" t="s">
        <v>245</v>
      </c>
      <c r="B49" s="32"/>
      <c r="C49" s="32"/>
      <c r="D49" s="32" t="s">
        <v>246</v>
      </c>
      <c r="E49" s="32"/>
      <c r="F49" s="32"/>
      <c r="G49" s="33"/>
      <c r="H49" s="33"/>
    </row>
    <row r="50" customFormat="false" ht="23.85" hidden="false" customHeight="true" outlineLevel="0" collapsed="false">
      <c r="A50" s="32" t="s">
        <v>247</v>
      </c>
      <c r="B50" s="32"/>
      <c r="C50" s="32"/>
      <c r="D50" s="32" t="s">
        <v>248</v>
      </c>
      <c r="E50" s="32"/>
      <c r="F50" s="32"/>
      <c r="G50" s="33"/>
      <c r="H50" s="33"/>
    </row>
    <row r="51" customFormat="false" ht="15" hidden="false" customHeight="true" outlineLevel="0" collapsed="false">
      <c r="A51" s="32" t="s">
        <v>249</v>
      </c>
      <c r="B51" s="32"/>
      <c r="C51" s="32"/>
      <c r="G51" s="33"/>
      <c r="H51" s="33"/>
    </row>
    <row r="52" customFormat="false" ht="15" hidden="false" customHeight="true" outlineLevel="0" collapsed="false">
      <c r="A52" s="32" t="s">
        <v>250</v>
      </c>
      <c r="B52" s="32"/>
      <c r="C52" s="32"/>
      <c r="G52" s="33"/>
      <c r="H52" s="33"/>
    </row>
    <row r="53" customFormat="false" ht="15" hidden="false" customHeight="true" outlineLevel="0" collapsed="false">
      <c r="A53" s="32" t="s">
        <v>251</v>
      </c>
      <c r="B53" s="32"/>
      <c r="C53" s="32"/>
      <c r="G53" s="33"/>
      <c r="H53" s="33"/>
    </row>
    <row r="55" customFormat="false" ht="15" hidden="false" customHeight="false" outlineLevel="0" collapsed="false">
      <c r="A55" s="4" t="s">
        <v>252</v>
      </c>
    </row>
    <row r="56" customFormat="false" ht="15" hidden="false" customHeight="false" outlineLevel="0" collapsed="false">
      <c r="A56" s="5" t="s">
        <v>71</v>
      </c>
      <c r="B56" s="6" t="s">
        <v>253</v>
      </c>
      <c r="C56" s="6" t="s">
        <v>254</v>
      </c>
      <c r="D56" s="6" t="s">
        <v>255</v>
      </c>
      <c r="E56" s="6" t="s">
        <v>256</v>
      </c>
      <c r="F56" s="6" t="s">
        <v>257</v>
      </c>
      <c r="G56" s="6" t="s">
        <v>258</v>
      </c>
    </row>
    <row r="57" customFormat="false" ht="23.85" hidden="false" customHeight="false" outlineLevel="0" collapsed="false">
      <c r="A57" s="38" t="n">
        <v>1</v>
      </c>
      <c r="B57" s="39" t="s">
        <v>259</v>
      </c>
      <c r="C57" s="40" t="s">
        <v>260</v>
      </c>
      <c r="D57" s="41" t="s">
        <v>261</v>
      </c>
      <c r="E57" s="42" t="s">
        <v>262</v>
      </c>
      <c r="F57" s="43" t="s">
        <v>263</v>
      </c>
      <c r="G57" s="44" t="s">
        <v>264</v>
      </c>
    </row>
    <row r="58" customFormat="false" ht="23.85" hidden="false" customHeight="false" outlineLevel="0" collapsed="false">
      <c r="A58" s="45" t="n">
        <v>2</v>
      </c>
      <c r="B58" s="46" t="s">
        <v>259</v>
      </c>
      <c r="C58" s="47" t="s">
        <v>265</v>
      </c>
      <c r="D58" s="48" t="s">
        <v>266</v>
      </c>
      <c r="E58" s="42" t="s">
        <v>262</v>
      </c>
      <c r="F58" s="49" t="s">
        <v>267</v>
      </c>
      <c r="G58" s="44" t="s">
        <v>268</v>
      </c>
    </row>
    <row r="59" customFormat="false" ht="23.85" hidden="false" customHeight="false" outlineLevel="0" collapsed="false">
      <c r="A59" s="38" t="n">
        <v>3</v>
      </c>
      <c r="B59" s="39" t="s">
        <v>259</v>
      </c>
      <c r="C59" s="40" t="s">
        <v>269</v>
      </c>
      <c r="D59" s="48" t="s">
        <v>266</v>
      </c>
      <c r="E59" s="42" t="s">
        <v>262</v>
      </c>
      <c r="F59" s="49" t="s">
        <v>267</v>
      </c>
      <c r="G59" s="44" t="s">
        <v>270</v>
      </c>
    </row>
    <row r="60" customFormat="false" ht="15" hidden="false" customHeight="false" outlineLevel="0" collapsed="false">
      <c r="A60" s="45" t="n">
        <v>4</v>
      </c>
      <c r="B60" s="46" t="s">
        <v>271</v>
      </c>
      <c r="C60" s="47" t="s">
        <v>272</v>
      </c>
      <c r="D60" s="48" t="s">
        <v>266</v>
      </c>
      <c r="E60" s="42" t="s">
        <v>262</v>
      </c>
      <c r="F60" s="49" t="s">
        <v>267</v>
      </c>
      <c r="G60" s="44" t="s">
        <v>273</v>
      </c>
    </row>
    <row r="61" customFormat="false" ht="23.85" hidden="false" customHeight="false" outlineLevel="0" collapsed="false">
      <c r="A61" s="38" t="n">
        <v>5</v>
      </c>
      <c r="B61" s="39" t="s">
        <v>271</v>
      </c>
      <c r="C61" s="40" t="s">
        <v>274</v>
      </c>
      <c r="D61" s="48" t="s">
        <v>266</v>
      </c>
      <c r="E61" s="42" t="s">
        <v>262</v>
      </c>
      <c r="F61" s="43" t="s">
        <v>263</v>
      </c>
      <c r="G61" s="44" t="s">
        <v>275</v>
      </c>
    </row>
    <row r="62" customFormat="false" ht="15" hidden="false" customHeight="false" outlineLevel="0" collapsed="false">
      <c r="A62" s="45" t="n">
        <v>6</v>
      </c>
      <c r="B62" s="46" t="s">
        <v>271</v>
      </c>
      <c r="C62" s="47" t="s">
        <v>276</v>
      </c>
      <c r="D62" s="48" t="s">
        <v>266</v>
      </c>
      <c r="E62" s="42" t="s">
        <v>262</v>
      </c>
      <c r="F62" s="49" t="s">
        <v>267</v>
      </c>
      <c r="G62" s="44" t="s">
        <v>277</v>
      </c>
    </row>
    <row r="63" customFormat="false" ht="15" hidden="false" customHeight="false" outlineLevel="0" collapsed="false">
      <c r="A63" s="38" t="n">
        <v>7</v>
      </c>
      <c r="B63" s="39" t="s">
        <v>278</v>
      </c>
      <c r="C63" s="40" t="s">
        <v>279</v>
      </c>
      <c r="D63" s="41" t="s">
        <v>261</v>
      </c>
      <c r="E63" s="42" t="s">
        <v>262</v>
      </c>
      <c r="F63" s="43" t="s">
        <v>263</v>
      </c>
      <c r="G63" s="44" t="s">
        <v>280</v>
      </c>
    </row>
    <row r="64" customFormat="false" ht="15" hidden="false" customHeight="false" outlineLevel="0" collapsed="false">
      <c r="A64" s="45" t="n">
        <v>8</v>
      </c>
      <c r="B64" s="46" t="s">
        <v>278</v>
      </c>
      <c r="C64" s="47" t="s">
        <v>281</v>
      </c>
      <c r="D64" s="50" t="s">
        <v>282</v>
      </c>
      <c r="E64" s="42" t="s">
        <v>262</v>
      </c>
      <c r="F64" s="49" t="s">
        <v>267</v>
      </c>
      <c r="G64" s="44" t="s">
        <v>283</v>
      </c>
    </row>
    <row r="65" customFormat="false" ht="23.85" hidden="false" customHeight="false" outlineLevel="0" collapsed="false">
      <c r="A65" s="38" t="n">
        <v>9</v>
      </c>
      <c r="B65" s="39" t="s">
        <v>284</v>
      </c>
      <c r="C65" s="40" t="s">
        <v>285</v>
      </c>
      <c r="D65" s="41" t="s">
        <v>261</v>
      </c>
      <c r="E65" s="42" t="s">
        <v>262</v>
      </c>
      <c r="F65" s="43" t="s">
        <v>263</v>
      </c>
      <c r="G65" s="44" t="s">
        <v>286</v>
      </c>
    </row>
    <row r="66" customFormat="false" ht="15" hidden="false" customHeight="false" outlineLevel="0" collapsed="false">
      <c r="A66" s="45" t="n">
        <v>10</v>
      </c>
      <c r="B66" s="46" t="s">
        <v>284</v>
      </c>
      <c r="C66" s="47" t="s">
        <v>287</v>
      </c>
      <c r="D66" s="48" t="s">
        <v>266</v>
      </c>
      <c r="E66" s="42" t="s">
        <v>262</v>
      </c>
      <c r="F66" s="49" t="s">
        <v>267</v>
      </c>
      <c r="G66" s="44" t="s">
        <v>288</v>
      </c>
    </row>
    <row r="67" customFormat="false" ht="15" hidden="false" customHeight="false" outlineLevel="0" collapsed="false">
      <c r="A67" s="38" t="n">
        <v>11</v>
      </c>
      <c r="B67" s="39" t="s">
        <v>289</v>
      </c>
      <c r="C67" s="40" t="s">
        <v>290</v>
      </c>
      <c r="D67" s="50" t="s">
        <v>282</v>
      </c>
      <c r="E67" s="42" t="s">
        <v>262</v>
      </c>
      <c r="F67" s="49" t="s">
        <v>267</v>
      </c>
      <c r="G67" s="44" t="s">
        <v>291</v>
      </c>
    </row>
    <row r="68" customFormat="false" ht="15" hidden="false" customHeight="false" outlineLevel="0" collapsed="false">
      <c r="A68" s="45" t="n">
        <v>12</v>
      </c>
      <c r="B68" s="46" t="s">
        <v>289</v>
      </c>
      <c r="C68" s="47" t="s">
        <v>292</v>
      </c>
      <c r="D68" s="50" t="s">
        <v>282</v>
      </c>
      <c r="E68" s="42" t="s">
        <v>262</v>
      </c>
      <c r="F68" s="51" t="s">
        <v>293</v>
      </c>
      <c r="G68" s="44" t="s">
        <v>294</v>
      </c>
    </row>
    <row r="69" customFormat="false" ht="15" hidden="false" customHeight="false" outlineLevel="0" collapsed="false">
      <c r="A69" s="38" t="n">
        <v>13</v>
      </c>
      <c r="B69" s="39" t="s">
        <v>295</v>
      </c>
      <c r="C69" s="40" t="s">
        <v>296</v>
      </c>
      <c r="D69" s="48" t="s">
        <v>266</v>
      </c>
      <c r="E69" s="42" t="s">
        <v>262</v>
      </c>
      <c r="F69" s="49" t="s">
        <v>267</v>
      </c>
      <c r="G69" s="44" t="s">
        <v>297</v>
      </c>
    </row>
    <row r="70" customFormat="false" ht="15" hidden="false" customHeight="false" outlineLevel="0" collapsed="false">
      <c r="A70" s="45" t="n">
        <v>14</v>
      </c>
      <c r="B70" s="46" t="s">
        <v>295</v>
      </c>
      <c r="C70" s="47" t="s">
        <v>298</v>
      </c>
      <c r="D70" s="48" t="s">
        <v>266</v>
      </c>
      <c r="E70" s="42" t="s">
        <v>262</v>
      </c>
      <c r="F70" s="49" t="s">
        <v>267</v>
      </c>
      <c r="G70" s="44" t="s">
        <v>299</v>
      </c>
    </row>
    <row r="71" customFormat="false" ht="23.85" hidden="false" customHeight="false" outlineLevel="0" collapsed="false">
      <c r="A71" s="38" t="n">
        <v>15</v>
      </c>
      <c r="B71" s="39" t="s">
        <v>295</v>
      </c>
      <c r="C71" s="40" t="s">
        <v>300</v>
      </c>
      <c r="D71" s="48" t="s">
        <v>266</v>
      </c>
      <c r="E71" s="42" t="s">
        <v>262</v>
      </c>
      <c r="F71" s="43" t="s">
        <v>263</v>
      </c>
      <c r="G71" s="44" t="s">
        <v>301</v>
      </c>
    </row>
    <row r="72" customFormat="false" ht="15" hidden="false" customHeight="false" outlineLevel="0" collapsed="false">
      <c r="A72" s="45" t="n">
        <v>16</v>
      </c>
      <c r="B72" s="46" t="s">
        <v>302</v>
      </c>
      <c r="C72" s="47" t="s">
        <v>303</v>
      </c>
      <c r="D72" s="48" t="s">
        <v>266</v>
      </c>
      <c r="E72" s="42" t="s">
        <v>262</v>
      </c>
      <c r="F72" s="49" t="s">
        <v>267</v>
      </c>
      <c r="G72" s="44" t="s">
        <v>304</v>
      </c>
    </row>
    <row r="73" customFormat="false" ht="15" hidden="false" customHeight="false" outlineLevel="0" collapsed="false">
      <c r="A73" s="38" t="n">
        <v>17</v>
      </c>
      <c r="B73" s="39" t="s">
        <v>302</v>
      </c>
      <c r="C73" s="40" t="s">
        <v>305</v>
      </c>
      <c r="D73" s="50" t="s">
        <v>282</v>
      </c>
      <c r="E73" s="42" t="s">
        <v>262</v>
      </c>
      <c r="F73" s="51" t="s">
        <v>293</v>
      </c>
      <c r="G73" s="44" t="s">
        <v>306</v>
      </c>
    </row>
    <row r="74" customFormat="false" ht="15" hidden="false" customHeight="false" outlineLevel="0" collapsed="false">
      <c r="A74" s="45" t="n">
        <v>18</v>
      </c>
      <c r="B74" s="46" t="s">
        <v>302</v>
      </c>
      <c r="C74" s="47" t="s">
        <v>307</v>
      </c>
      <c r="D74" s="50" t="s">
        <v>282</v>
      </c>
      <c r="E74" s="42" t="s">
        <v>262</v>
      </c>
      <c r="F74" s="51" t="s">
        <v>293</v>
      </c>
      <c r="G74" s="44" t="s">
        <v>308</v>
      </c>
    </row>
    <row r="75" customFormat="false" ht="15" hidden="false" customHeight="false" outlineLevel="0" collapsed="false">
      <c r="A75" s="38" t="n">
        <v>19</v>
      </c>
      <c r="B75" s="39" t="s">
        <v>309</v>
      </c>
      <c r="C75" s="40" t="s">
        <v>310</v>
      </c>
      <c r="D75" s="48" t="s">
        <v>266</v>
      </c>
      <c r="E75" s="42" t="s">
        <v>262</v>
      </c>
      <c r="F75" s="49" t="s">
        <v>267</v>
      </c>
      <c r="G75" s="44" t="s">
        <v>311</v>
      </c>
    </row>
    <row r="76" customFormat="false" ht="15" hidden="false" customHeight="false" outlineLevel="0" collapsed="false">
      <c r="A76" s="45" t="n">
        <v>20</v>
      </c>
      <c r="B76" s="46" t="s">
        <v>309</v>
      </c>
      <c r="C76" s="47" t="s">
        <v>312</v>
      </c>
      <c r="D76" s="50" t="s">
        <v>282</v>
      </c>
      <c r="E76" s="42" t="s">
        <v>262</v>
      </c>
      <c r="F76" s="49" t="s">
        <v>267</v>
      </c>
      <c r="G76" s="44" t="s">
        <v>313</v>
      </c>
    </row>
    <row r="77" customFormat="false" ht="23.85" hidden="false" customHeight="false" outlineLevel="0" collapsed="false">
      <c r="A77" s="38" t="n">
        <v>21</v>
      </c>
      <c r="B77" s="39" t="s">
        <v>314</v>
      </c>
      <c r="C77" s="40" t="s">
        <v>315</v>
      </c>
      <c r="D77" s="48" t="s">
        <v>266</v>
      </c>
      <c r="E77" s="42" t="s">
        <v>262</v>
      </c>
      <c r="F77" s="49" t="s">
        <v>267</v>
      </c>
      <c r="G77" s="44" t="s">
        <v>316</v>
      </c>
    </row>
    <row r="78" customFormat="false" ht="15" hidden="false" customHeight="false" outlineLevel="0" collapsed="false">
      <c r="A78" s="45" t="n">
        <v>22</v>
      </c>
      <c r="B78" s="46" t="s">
        <v>314</v>
      </c>
      <c r="C78" s="47" t="s">
        <v>317</v>
      </c>
      <c r="D78" s="50" t="s">
        <v>282</v>
      </c>
      <c r="E78" s="42" t="s">
        <v>262</v>
      </c>
      <c r="F78" s="49" t="s">
        <v>267</v>
      </c>
      <c r="G78" s="44" t="s">
        <v>318</v>
      </c>
    </row>
    <row r="79" customFormat="false" ht="23.85" hidden="false" customHeight="false" outlineLevel="0" collapsed="false">
      <c r="A79" s="38" t="n">
        <v>23</v>
      </c>
      <c r="B79" s="39" t="s">
        <v>319</v>
      </c>
      <c r="C79" s="40" t="s">
        <v>320</v>
      </c>
      <c r="D79" s="48" t="s">
        <v>266</v>
      </c>
      <c r="E79" s="42" t="s">
        <v>262</v>
      </c>
      <c r="F79" s="49" t="s">
        <v>267</v>
      </c>
      <c r="G79" s="44" t="s">
        <v>321</v>
      </c>
    </row>
    <row r="80" customFormat="false" ht="23.85" hidden="false" customHeight="false" outlineLevel="0" collapsed="false">
      <c r="A80" s="45" t="n">
        <v>24</v>
      </c>
      <c r="B80" s="46" t="s">
        <v>319</v>
      </c>
      <c r="C80" s="47" t="s">
        <v>322</v>
      </c>
      <c r="D80" s="41" t="s">
        <v>261</v>
      </c>
      <c r="E80" s="42" t="s">
        <v>262</v>
      </c>
      <c r="F80" s="43" t="s">
        <v>263</v>
      </c>
      <c r="G80" s="44" t="s">
        <v>323</v>
      </c>
    </row>
    <row r="81" customFormat="false" ht="23.85" hidden="false" customHeight="false" outlineLevel="0" collapsed="false">
      <c r="A81" s="38" t="n">
        <v>25</v>
      </c>
      <c r="B81" s="39" t="s">
        <v>319</v>
      </c>
      <c r="C81" s="40" t="s">
        <v>324</v>
      </c>
      <c r="D81" s="41" t="s">
        <v>261</v>
      </c>
      <c r="E81" s="42" t="s">
        <v>262</v>
      </c>
      <c r="F81" s="43" t="s">
        <v>263</v>
      </c>
      <c r="G81" s="44" t="s">
        <v>325</v>
      </c>
    </row>
  </sheetData>
  <mergeCells count="60">
    <mergeCell ref="A4:H4"/>
    <mergeCell ref="A5:H5"/>
    <mergeCell ref="A7:C7"/>
    <mergeCell ref="D7:F7"/>
    <mergeCell ref="G7:H11"/>
    <mergeCell ref="A8:C8"/>
    <mergeCell ref="D8:F8"/>
    <mergeCell ref="A9:C9"/>
    <mergeCell ref="A10:C10"/>
    <mergeCell ref="A11:C11"/>
    <mergeCell ref="A13:H13"/>
    <mergeCell ref="A14:H14"/>
    <mergeCell ref="A16:C16"/>
    <mergeCell ref="D16:F16"/>
    <mergeCell ref="G16:H21"/>
    <mergeCell ref="A17:C17"/>
    <mergeCell ref="D17:F17"/>
    <mergeCell ref="A18:C18"/>
    <mergeCell ref="D18:F18"/>
    <mergeCell ref="A19:C19"/>
    <mergeCell ref="A20:C20"/>
    <mergeCell ref="A21:C21"/>
    <mergeCell ref="A23:H23"/>
    <mergeCell ref="A24:H24"/>
    <mergeCell ref="A26:C26"/>
    <mergeCell ref="D26:F26"/>
    <mergeCell ref="G26:H32"/>
    <mergeCell ref="A27:C27"/>
    <mergeCell ref="D27:F27"/>
    <mergeCell ref="A28:C28"/>
    <mergeCell ref="D28:F28"/>
    <mergeCell ref="A29:C29"/>
    <mergeCell ref="A30:C30"/>
    <mergeCell ref="A31:C31"/>
    <mergeCell ref="A32:C32"/>
    <mergeCell ref="A34:H34"/>
    <mergeCell ref="A35:H35"/>
    <mergeCell ref="A37:C37"/>
    <mergeCell ref="D37:F37"/>
    <mergeCell ref="G37:H43"/>
    <mergeCell ref="A38:C38"/>
    <mergeCell ref="D38:F38"/>
    <mergeCell ref="A39:C39"/>
    <mergeCell ref="D39:F39"/>
    <mergeCell ref="A40:C40"/>
    <mergeCell ref="A41:C41"/>
    <mergeCell ref="A42:C42"/>
    <mergeCell ref="A43:C43"/>
    <mergeCell ref="A45:H45"/>
    <mergeCell ref="A46:H46"/>
    <mergeCell ref="A48:C48"/>
    <mergeCell ref="D48:F48"/>
    <mergeCell ref="G48:H53"/>
    <mergeCell ref="A49:C49"/>
    <mergeCell ref="D49:F49"/>
    <mergeCell ref="A50:C50"/>
    <mergeCell ref="D50:F50"/>
    <mergeCell ref="A51:C51"/>
    <mergeCell ref="A52:C52"/>
    <mergeCell ref="A53:C5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9"/>
    <col collapsed="false" customWidth="true" hidden="false" outlineLevel="0" max="3" min="3" style="0" width="15"/>
    <col collapsed="false" customWidth="true" hidden="false" outlineLevel="0" max="4" min="4" style="0" width="16"/>
    <col collapsed="false" customWidth="true" hidden="false" outlineLevel="0" max="6" min="5" style="0" width="13"/>
    <col collapsed="false" customWidth="true" hidden="false" outlineLevel="0" max="7" min="7" style="0" width="16"/>
  </cols>
  <sheetData>
    <row r="1" customFormat="false" ht="21.75" hidden="false" customHeight="true" outlineLevel="0" collapsed="false">
      <c r="A1" s="1" t="s">
        <v>326</v>
      </c>
    </row>
    <row r="2" customFormat="false" ht="15.75" hidden="false" customHeight="true" outlineLevel="0" collapsed="false">
      <c r="A2" s="2" t="s">
        <v>327</v>
      </c>
    </row>
    <row r="4" customFormat="false" ht="15" hidden="false" customHeight="true" outlineLevel="0" collapsed="false">
      <c r="A4" s="52" t="s">
        <v>328</v>
      </c>
      <c r="B4" s="52"/>
      <c r="C4" s="52"/>
      <c r="D4" s="52"/>
      <c r="E4" s="52"/>
      <c r="F4" s="52"/>
      <c r="G4" s="52"/>
    </row>
    <row r="5" customFormat="false" ht="15" hidden="false" customHeight="true" outlineLevel="0" collapsed="false">
      <c r="A5" s="53" t="s">
        <v>329</v>
      </c>
      <c r="B5" s="53"/>
      <c r="C5" s="53"/>
      <c r="D5" s="53"/>
      <c r="E5" s="53"/>
      <c r="F5" s="53"/>
      <c r="G5" s="53"/>
    </row>
    <row r="6" customFormat="false" ht="23.85" hidden="false" customHeight="false" outlineLevel="0" collapsed="false">
      <c r="A6" s="54" t="s">
        <v>330</v>
      </c>
      <c r="B6" s="55" t="s">
        <v>331</v>
      </c>
    </row>
    <row r="7" customFormat="false" ht="15" hidden="false" customHeight="true" outlineLevel="0" collapsed="false">
      <c r="A7" s="16" t="s">
        <v>332</v>
      </c>
      <c r="B7" s="56" t="s">
        <v>333</v>
      </c>
      <c r="C7" s="56"/>
      <c r="D7" s="56"/>
      <c r="E7" s="56"/>
      <c r="F7" s="56"/>
      <c r="G7" s="56"/>
    </row>
    <row r="8" customFormat="false" ht="15" hidden="false" customHeight="true" outlineLevel="0" collapsed="false">
      <c r="A8" s="17" t="s">
        <v>334</v>
      </c>
      <c r="B8" s="57" t="s">
        <v>335</v>
      </c>
      <c r="C8" s="57"/>
      <c r="D8" s="57"/>
      <c r="E8" s="57"/>
      <c r="F8" s="57"/>
      <c r="G8" s="57"/>
    </row>
    <row r="9" customFormat="false" ht="15" hidden="false" customHeight="true" outlineLevel="0" collapsed="false">
      <c r="A9" s="16" t="s">
        <v>336</v>
      </c>
      <c r="B9" s="56" t="s">
        <v>337</v>
      </c>
      <c r="C9" s="56"/>
      <c r="D9" s="56"/>
      <c r="E9" s="56"/>
      <c r="F9" s="56"/>
      <c r="G9" s="56"/>
    </row>
    <row r="10" customFormat="false" ht="15" hidden="false" customHeight="true" outlineLevel="0" collapsed="false">
      <c r="A10" s="17" t="s">
        <v>338</v>
      </c>
      <c r="B10" s="57" t="s">
        <v>339</v>
      </c>
      <c r="C10" s="57"/>
      <c r="D10" s="57"/>
      <c r="E10" s="57"/>
      <c r="F10" s="57"/>
      <c r="G10" s="57"/>
    </row>
    <row r="11" customFormat="false" ht="15" hidden="false" customHeight="true" outlineLevel="0" collapsed="false">
      <c r="A11" s="16" t="s">
        <v>340</v>
      </c>
      <c r="B11" s="56" t="s">
        <v>341</v>
      </c>
      <c r="C11" s="56"/>
      <c r="D11" s="56"/>
      <c r="E11" s="56"/>
      <c r="F11" s="56"/>
      <c r="G11" s="56"/>
    </row>
    <row r="12" customFormat="false" ht="15" hidden="false" customHeight="true" outlineLevel="0" collapsed="false">
      <c r="A12" s="17" t="s">
        <v>342</v>
      </c>
      <c r="B12" s="57" t="s">
        <v>343</v>
      </c>
      <c r="C12" s="57"/>
      <c r="D12" s="57"/>
      <c r="E12" s="57"/>
      <c r="F12" s="57"/>
      <c r="G12" s="57"/>
    </row>
    <row r="13" customFormat="false" ht="15" hidden="false" customHeight="true" outlineLevel="0" collapsed="false">
      <c r="A13" s="16" t="s">
        <v>344</v>
      </c>
      <c r="B13" s="56" t="s">
        <v>345</v>
      </c>
      <c r="C13" s="56"/>
      <c r="D13" s="56"/>
      <c r="E13" s="56"/>
      <c r="F13" s="56"/>
      <c r="G13" s="56"/>
    </row>
    <row r="14" customFormat="false" ht="15" hidden="false" customHeight="true" outlineLevel="0" collapsed="false">
      <c r="A14" s="29" t="s">
        <v>346</v>
      </c>
      <c r="B14" s="32" t="s">
        <v>347</v>
      </c>
      <c r="C14" s="32"/>
      <c r="D14" s="32"/>
      <c r="E14" s="32"/>
      <c r="F14" s="32"/>
      <c r="G14" s="32"/>
    </row>
    <row r="15" customFormat="false" ht="15" hidden="false" customHeight="true" outlineLevel="0" collapsed="false">
      <c r="A15" s="58" t="s">
        <v>348</v>
      </c>
      <c r="B15" s="28" t="s">
        <v>349</v>
      </c>
      <c r="C15" s="28"/>
      <c r="D15" s="28"/>
      <c r="E15" s="28"/>
      <c r="F15" s="28"/>
      <c r="G15" s="28"/>
    </row>
    <row r="17" customFormat="false" ht="15" hidden="false" customHeight="true" outlineLevel="0" collapsed="false">
      <c r="A17" s="59" t="s">
        <v>350</v>
      </c>
      <c r="B17" s="59"/>
      <c r="C17" s="59"/>
      <c r="D17" s="59"/>
      <c r="E17" s="59"/>
      <c r="F17" s="59"/>
      <c r="G17" s="59"/>
    </row>
    <row r="18" customFormat="false" ht="15" hidden="false" customHeight="true" outlineLevel="0" collapsed="false">
      <c r="A18" s="53" t="s">
        <v>351</v>
      </c>
      <c r="B18" s="53"/>
      <c r="C18" s="53"/>
      <c r="D18" s="53"/>
      <c r="E18" s="53"/>
      <c r="F18" s="53"/>
      <c r="G18" s="53"/>
    </row>
    <row r="19" customFormat="false" ht="23.85" hidden="false" customHeight="false" outlineLevel="0" collapsed="false">
      <c r="A19" s="54" t="s">
        <v>330</v>
      </c>
      <c r="B19" s="55" t="s">
        <v>331</v>
      </c>
    </row>
    <row r="20" customFormat="false" ht="15" hidden="false" customHeight="true" outlineLevel="0" collapsed="false">
      <c r="A20" s="16" t="s">
        <v>352</v>
      </c>
      <c r="B20" s="56" t="s">
        <v>353</v>
      </c>
      <c r="C20" s="56"/>
      <c r="D20" s="56"/>
      <c r="E20" s="56"/>
      <c r="F20" s="56"/>
      <c r="G20" s="56"/>
    </row>
    <row r="21" customFormat="false" ht="23.85" hidden="false" customHeight="true" outlineLevel="0" collapsed="false">
      <c r="A21" s="17" t="s">
        <v>354</v>
      </c>
      <c r="B21" s="57" t="s">
        <v>355</v>
      </c>
      <c r="C21" s="57"/>
      <c r="D21" s="57"/>
      <c r="E21" s="57"/>
      <c r="F21" s="57"/>
      <c r="G21" s="57"/>
    </row>
    <row r="22" customFormat="false" ht="15" hidden="false" customHeight="true" outlineLevel="0" collapsed="false">
      <c r="A22" s="16" t="s">
        <v>356</v>
      </c>
      <c r="B22" s="56" t="s">
        <v>357</v>
      </c>
      <c r="C22" s="56"/>
      <c r="D22" s="56"/>
      <c r="E22" s="56"/>
      <c r="F22" s="56"/>
      <c r="G22" s="56"/>
    </row>
    <row r="23" customFormat="false" ht="35.05" hidden="false" customHeight="true" outlineLevel="0" collapsed="false">
      <c r="A23" s="17" t="s">
        <v>358</v>
      </c>
      <c r="B23" s="57" t="s">
        <v>359</v>
      </c>
      <c r="C23" s="57"/>
      <c r="D23" s="57"/>
      <c r="E23" s="57"/>
      <c r="F23" s="57"/>
      <c r="G23" s="57"/>
    </row>
    <row r="24" customFormat="false" ht="23.85" hidden="false" customHeight="true" outlineLevel="0" collapsed="false">
      <c r="A24" s="16" t="s">
        <v>360</v>
      </c>
      <c r="B24" s="56" t="s">
        <v>361</v>
      </c>
      <c r="C24" s="56"/>
      <c r="D24" s="56"/>
      <c r="E24" s="56"/>
      <c r="F24" s="56"/>
      <c r="G24" s="56"/>
    </row>
    <row r="25" customFormat="false" ht="15" hidden="false" customHeight="true" outlineLevel="0" collapsed="false">
      <c r="A25" s="29" t="s">
        <v>346</v>
      </c>
      <c r="B25" s="32" t="s">
        <v>362</v>
      </c>
      <c r="C25" s="32"/>
      <c r="D25" s="32"/>
      <c r="E25" s="32"/>
      <c r="F25" s="32"/>
      <c r="G25" s="32"/>
    </row>
    <row r="26" customFormat="false" ht="23.85" hidden="false" customHeight="true" outlineLevel="0" collapsed="false">
      <c r="A26" s="58" t="s">
        <v>348</v>
      </c>
      <c r="B26" s="28" t="s">
        <v>363</v>
      </c>
      <c r="C26" s="28"/>
      <c r="D26" s="28"/>
      <c r="E26" s="28"/>
      <c r="F26" s="28"/>
      <c r="G26" s="28"/>
    </row>
    <row r="28" customFormat="false" ht="15" hidden="false" customHeight="true" outlineLevel="0" collapsed="false">
      <c r="A28" s="60" t="s">
        <v>364</v>
      </c>
      <c r="B28" s="60"/>
      <c r="C28" s="60"/>
      <c r="D28" s="60"/>
      <c r="E28" s="60"/>
      <c r="F28" s="60"/>
      <c r="G28" s="60"/>
    </row>
    <row r="29" customFormat="false" ht="15" hidden="false" customHeight="true" outlineLevel="0" collapsed="false">
      <c r="A29" s="53" t="s">
        <v>365</v>
      </c>
      <c r="B29" s="53"/>
      <c r="C29" s="53"/>
      <c r="D29" s="53"/>
      <c r="E29" s="53"/>
      <c r="F29" s="53"/>
      <c r="G29" s="53"/>
    </row>
    <row r="30" customFormat="false" ht="23.85" hidden="false" customHeight="false" outlineLevel="0" collapsed="false">
      <c r="A30" s="54" t="s">
        <v>330</v>
      </c>
      <c r="B30" s="55" t="s">
        <v>331</v>
      </c>
    </row>
    <row r="31" customFormat="false" ht="23.85" hidden="false" customHeight="true" outlineLevel="0" collapsed="false">
      <c r="A31" s="16" t="s">
        <v>366</v>
      </c>
      <c r="B31" s="56" t="s">
        <v>367</v>
      </c>
      <c r="C31" s="56"/>
      <c r="D31" s="56"/>
      <c r="E31" s="56"/>
      <c r="F31" s="56"/>
      <c r="G31" s="56"/>
    </row>
    <row r="32" customFormat="false" ht="23.85" hidden="false" customHeight="true" outlineLevel="0" collapsed="false">
      <c r="A32" s="17" t="s">
        <v>368</v>
      </c>
      <c r="B32" s="57" t="s">
        <v>369</v>
      </c>
      <c r="C32" s="57"/>
      <c r="D32" s="57"/>
      <c r="E32" s="57"/>
      <c r="F32" s="57"/>
      <c r="G32" s="57"/>
    </row>
    <row r="33" customFormat="false" ht="23.85" hidden="false" customHeight="true" outlineLevel="0" collapsed="false">
      <c r="A33" s="16" t="s">
        <v>370</v>
      </c>
      <c r="B33" s="56" t="s">
        <v>371</v>
      </c>
      <c r="C33" s="56"/>
      <c r="D33" s="56"/>
      <c r="E33" s="56"/>
      <c r="F33" s="56"/>
      <c r="G33" s="56"/>
    </row>
    <row r="34" customFormat="false" ht="23.85" hidden="false" customHeight="true" outlineLevel="0" collapsed="false">
      <c r="A34" s="17" t="s">
        <v>372</v>
      </c>
      <c r="B34" s="57" t="s">
        <v>373</v>
      </c>
      <c r="C34" s="57"/>
      <c r="D34" s="57"/>
      <c r="E34" s="57"/>
      <c r="F34" s="57"/>
      <c r="G34" s="57"/>
    </row>
    <row r="35" customFormat="false" ht="23.85" hidden="false" customHeight="true" outlineLevel="0" collapsed="false">
      <c r="A35" s="16" t="s">
        <v>374</v>
      </c>
      <c r="B35" s="56" t="s">
        <v>375</v>
      </c>
      <c r="C35" s="56"/>
      <c r="D35" s="56"/>
      <c r="E35" s="56"/>
      <c r="F35" s="56"/>
      <c r="G35" s="56"/>
    </row>
    <row r="36" customFormat="false" ht="23.85" hidden="false" customHeight="true" outlineLevel="0" collapsed="false">
      <c r="A36" s="17" t="s">
        <v>376</v>
      </c>
      <c r="B36" s="57" t="s">
        <v>377</v>
      </c>
      <c r="C36" s="57"/>
      <c r="D36" s="57"/>
      <c r="E36" s="57"/>
      <c r="F36" s="57"/>
      <c r="G36" s="57"/>
    </row>
    <row r="37" customFormat="false" ht="15" hidden="false" customHeight="true" outlineLevel="0" collapsed="false">
      <c r="A37" s="29" t="s">
        <v>346</v>
      </c>
      <c r="B37" s="32" t="s">
        <v>347</v>
      </c>
      <c r="C37" s="32"/>
      <c r="D37" s="32"/>
      <c r="E37" s="32"/>
      <c r="F37" s="32"/>
      <c r="G37" s="32"/>
    </row>
    <row r="38" customFormat="false" ht="15" hidden="false" customHeight="true" outlineLevel="0" collapsed="false">
      <c r="A38" s="58" t="s">
        <v>348</v>
      </c>
      <c r="B38" s="28" t="s">
        <v>349</v>
      </c>
      <c r="C38" s="28"/>
      <c r="D38" s="28"/>
      <c r="E38" s="28"/>
      <c r="F38" s="28"/>
      <c r="G38" s="28"/>
    </row>
    <row r="40" customFormat="false" ht="15" hidden="false" customHeight="true" outlineLevel="0" collapsed="false">
      <c r="A40" s="61" t="s">
        <v>378</v>
      </c>
      <c r="B40" s="61"/>
      <c r="C40" s="61"/>
      <c r="D40" s="61"/>
      <c r="E40" s="61"/>
      <c r="F40" s="61"/>
      <c r="G40" s="61"/>
    </row>
    <row r="41" customFormat="false" ht="15" hidden="false" customHeight="true" outlineLevel="0" collapsed="false">
      <c r="A41" s="53" t="s">
        <v>379</v>
      </c>
      <c r="B41" s="53"/>
      <c r="C41" s="53"/>
      <c r="D41" s="53"/>
      <c r="E41" s="53"/>
      <c r="F41" s="53"/>
      <c r="G41" s="53"/>
    </row>
    <row r="42" customFormat="false" ht="23.85" hidden="false" customHeight="false" outlineLevel="0" collapsed="false">
      <c r="A42" s="54" t="s">
        <v>330</v>
      </c>
      <c r="B42" s="55" t="s">
        <v>331</v>
      </c>
    </row>
    <row r="43" customFormat="false" ht="23.85" hidden="false" customHeight="true" outlineLevel="0" collapsed="false">
      <c r="A43" s="16" t="s">
        <v>380</v>
      </c>
      <c r="B43" s="56" t="s">
        <v>381</v>
      </c>
      <c r="C43" s="56"/>
      <c r="D43" s="56"/>
      <c r="E43" s="56"/>
      <c r="F43" s="56"/>
      <c r="G43" s="56"/>
    </row>
    <row r="44" customFormat="false" ht="23.85" hidden="false" customHeight="true" outlineLevel="0" collapsed="false">
      <c r="A44" s="17" t="s">
        <v>382</v>
      </c>
      <c r="B44" s="57" t="s">
        <v>383</v>
      </c>
      <c r="C44" s="57"/>
      <c r="D44" s="57"/>
      <c r="E44" s="57"/>
      <c r="F44" s="57"/>
      <c r="G44" s="57"/>
    </row>
    <row r="45" customFormat="false" ht="23.85" hidden="false" customHeight="true" outlineLevel="0" collapsed="false">
      <c r="A45" s="16" t="s">
        <v>384</v>
      </c>
      <c r="B45" s="56" t="s">
        <v>385</v>
      </c>
      <c r="C45" s="56"/>
      <c r="D45" s="56"/>
      <c r="E45" s="56"/>
      <c r="F45" s="56"/>
      <c r="G45" s="56"/>
    </row>
    <row r="46" customFormat="false" ht="23.85" hidden="false" customHeight="true" outlineLevel="0" collapsed="false">
      <c r="A46" s="17" t="s">
        <v>386</v>
      </c>
      <c r="B46" s="57" t="s">
        <v>387</v>
      </c>
      <c r="C46" s="57"/>
      <c r="D46" s="57"/>
      <c r="E46" s="57"/>
      <c r="F46" s="57"/>
      <c r="G46" s="57"/>
    </row>
    <row r="47" customFormat="false" ht="23.85" hidden="false" customHeight="true" outlineLevel="0" collapsed="false">
      <c r="A47" s="16" t="s">
        <v>388</v>
      </c>
      <c r="B47" s="56" t="s">
        <v>389</v>
      </c>
      <c r="C47" s="56"/>
      <c r="D47" s="56"/>
      <c r="E47" s="56"/>
      <c r="F47" s="56"/>
      <c r="G47" s="56"/>
    </row>
    <row r="48" customFormat="false" ht="23.85" hidden="false" customHeight="true" outlineLevel="0" collapsed="false">
      <c r="A48" s="17" t="s">
        <v>390</v>
      </c>
      <c r="B48" s="57" t="s">
        <v>391</v>
      </c>
      <c r="C48" s="57"/>
      <c r="D48" s="57"/>
      <c r="E48" s="57"/>
      <c r="F48" s="57"/>
      <c r="G48" s="57"/>
    </row>
    <row r="49" customFormat="false" ht="23.85" hidden="false" customHeight="true" outlineLevel="0" collapsed="false">
      <c r="A49" s="29" t="s">
        <v>346</v>
      </c>
      <c r="B49" s="32" t="s">
        <v>392</v>
      </c>
      <c r="C49" s="32"/>
      <c r="D49" s="32"/>
      <c r="E49" s="32"/>
      <c r="F49" s="32"/>
      <c r="G49" s="32"/>
    </row>
    <row r="50" customFormat="false" ht="23.85" hidden="false" customHeight="true" outlineLevel="0" collapsed="false">
      <c r="A50" s="58" t="s">
        <v>348</v>
      </c>
      <c r="B50" s="28" t="s">
        <v>393</v>
      </c>
      <c r="C50" s="28"/>
      <c r="D50" s="28"/>
      <c r="E50" s="28"/>
      <c r="F50" s="28"/>
      <c r="G50" s="28"/>
    </row>
    <row r="52" customFormat="false" ht="15" hidden="false" customHeight="false" outlineLevel="0" collapsed="false">
      <c r="A52" s="4" t="s">
        <v>394</v>
      </c>
    </row>
    <row r="53" customFormat="false" ht="23.85" hidden="false" customHeight="false" outlineLevel="0" collapsed="false">
      <c r="A53" s="5" t="s">
        <v>254</v>
      </c>
      <c r="B53" s="6" t="s">
        <v>395</v>
      </c>
      <c r="C53" s="6" t="s">
        <v>396</v>
      </c>
      <c r="D53" s="6" t="s">
        <v>397</v>
      </c>
      <c r="E53" s="6" t="s">
        <v>398</v>
      </c>
      <c r="F53" s="6" t="s">
        <v>399</v>
      </c>
      <c r="G53" s="6" t="s">
        <v>400</v>
      </c>
    </row>
    <row r="54" customFormat="false" ht="15" hidden="false" customHeight="false" outlineLevel="0" collapsed="false">
      <c r="A54" s="62" t="s">
        <v>260</v>
      </c>
      <c r="B54" s="41" t="s">
        <v>261</v>
      </c>
      <c r="C54" s="63" t="s">
        <v>401</v>
      </c>
      <c r="D54" s="63" t="s">
        <v>401</v>
      </c>
      <c r="E54" s="63" t="s">
        <v>401</v>
      </c>
      <c r="F54" s="63" t="s">
        <v>401</v>
      </c>
      <c r="G54" s="41" t="s">
        <v>402</v>
      </c>
    </row>
    <row r="55" customFormat="false" ht="15" hidden="false" customHeight="false" outlineLevel="0" collapsed="false">
      <c r="A55" s="62" t="s">
        <v>265</v>
      </c>
      <c r="B55" s="48" t="s">
        <v>266</v>
      </c>
      <c r="C55" s="63" t="s">
        <v>401</v>
      </c>
      <c r="D55" s="63" t="s">
        <v>401</v>
      </c>
      <c r="E55" s="63" t="s">
        <v>401</v>
      </c>
      <c r="F55" s="63" t="s">
        <v>401</v>
      </c>
      <c r="G55" s="48" t="s">
        <v>403</v>
      </c>
    </row>
    <row r="56" customFormat="false" ht="15" hidden="false" customHeight="false" outlineLevel="0" collapsed="false">
      <c r="A56" s="62" t="s">
        <v>269</v>
      </c>
      <c r="B56" s="48" t="s">
        <v>266</v>
      </c>
      <c r="C56" s="63" t="s">
        <v>401</v>
      </c>
      <c r="D56" s="63" t="s">
        <v>401</v>
      </c>
      <c r="E56" s="63" t="s">
        <v>401</v>
      </c>
      <c r="F56" s="63" t="s">
        <v>401</v>
      </c>
      <c r="G56" s="48" t="s">
        <v>403</v>
      </c>
    </row>
    <row r="57" customFormat="false" ht="15" hidden="false" customHeight="false" outlineLevel="0" collapsed="false">
      <c r="A57" s="62" t="s">
        <v>272</v>
      </c>
      <c r="B57" s="48" t="s">
        <v>266</v>
      </c>
      <c r="C57" s="63" t="s">
        <v>401</v>
      </c>
      <c r="D57" s="63" t="s">
        <v>401</v>
      </c>
      <c r="E57" s="63" t="s">
        <v>401</v>
      </c>
      <c r="F57" s="64" t="s">
        <v>404</v>
      </c>
      <c r="G57" s="48" t="s">
        <v>403</v>
      </c>
    </row>
    <row r="58" customFormat="false" ht="15" hidden="false" customHeight="false" outlineLevel="0" collapsed="false">
      <c r="A58" s="62" t="s">
        <v>274</v>
      </c>
      <c r="B58" s="48" t="s">
        <v>266</v>
      </c>
      <c r="C58" s="63" t="s">
        <v>401</v>
      </c>
      <c r="D58" s="63" t="s">
        <v>401</v>
      </c>
      <c r="E58" s="63" t="s">
        <v>401</v>
      </c>
      <c r="F58" s="63" t="s">
        <v>401</v>
      </c>
      <c r="G58" s="48" t="s">
        <v>403</v>
      </c>
    </row>
    <row r="59" customFormat="false" ht="15" hidden="false" customHeight="false" outlineLevel="0" collapsed="false">
      <c r="A59" s="62" t="s">
        <v>276</v>
      </c>
      <c r="B59" s="48" t="s">
        <v>266</v>
      </c>
      <c r="C59" s="63" t="s">
        <v>401</v>
      </c>
      <c r="D59" s="64" t="s">
        <v>405</v>
      </c>
      <c r="E59" s="63" t="s">
        <v>401</v>
      </c>
      <c r="F59" s="64" t="s">
        <v>404</v>
      </c>
      <c r="G59" s="48" t="s">
        <v>403</v>
      </c>
    </row>
    <row r="60" customFormat="false" ht="15" hidden="false" customHeight="false" outlineLevel="0" collapsed="false">
      <c r="A60" s="62" t="s">
        <v>279</v>
      </c>
      <c r="B60" s="41" t="s">
        <v>261</v>
      </c>
      <c r="C60" s="63" t="s">
        <v>401</v>
      </c>
      <c r="D60" s="63" t="s">
        <v>401</v>
      </c>
      <c r="E60" s="63" t="s">
        <v>401</v>
      </c>
      <c r="F60" s="63" t="s">
        <v>401</v>
      </c>
      <c r="G60" s="41" t="s">
        <v>402</v>
      </c>
    </row>
    <row r="61" customFormat="false" ht="15" hidden="false" customHeight="false" outlineLevel="0" collapsed="false">
      <c r="A61" s="62" t="s">
        <v>281</v>
      </c>
      <c r="B61" s="50" t="s">
        <v>282</v>
      </c>
      <c r="C61" s="63" t="s">
        <v>401</v>
      </c>
      <c r="D61" s="63" t="s">
        <v>401</v>
      </c>
      <c r="E61" s="63" t="s">
        <v>401</v>
      </c>
      <c r="F61" s="64" t="s">
        <v>404</v>
      </c>
      <c r="G61" s="50" t="s">
        <v>406</v>
      </c>
    </row>
    <row r="62" customFormat="false" ht="15" hidden="false" customHeight="false" outlineLevel="0" collapsed="false">
      <c r="A62" s="62" t="s">
        <v>285</v>
      </c>
      <c r="B62" s="41" t="s">
        <v>261</v>
      </c>
      <c r="C62" s="63" t="s">
        <v>401</v>
      </c>
      <c r="D62" s="63" t="s">
        <v>401</v>
      </c>
      <c r="E62" s="63" t="s">
        <v>401</v>
      </c>
      <c r="F62" s="63" t="s">
        <v>401</v>
      </c>
      <c r="G62" s="41" t="s">
        <v>402</v>
      </c>
    </row>
    <row r="63" customFormat="false" ht="15" hidden="false" customHeight="false" outlineLevel="0" collapsed="false">
      <c r="A63" s="62" t="s">
        <v>287</v>
      </c>
      <c r="B63" s="48" t="s">
        <v>266</v>
      </c>
      <c r="C63" s="63" t="s">
        <v>401</v>
      </c>
      <c r="D63" s="63" t="s">
        <v>401</v>
      </c>
      <c r="E63" s="63" t="s">
        <v>401</v>
      </c>
      <c r="F63" s="64" t="s">
        <v>404</v>
      </c>
      <c r="G63" s="48" t="s">
        <v>403</v>
      </c>
    </row>
    <row r="64" customFormat="false" ht="15" hidden="false" customHeight="false" outlineLevel="0" collapsed="false">
      <c r="A64" s="62" t="s">
        <v>290</v>
      </c>
      <c r="B64" s="50" t="s">
        <v>282</v>
      </c>
      <c r="C64" s="63" t="s">
        <v>401</v>
      </c>
      <c r="D64" s="63" t="s">
        <v>401</v>
      </c>
      <c r="E64" s="63" t="s">
        <v>401</v>
      </c>
      <c r="F64" s="64" t="s">
        <v>404</v>
      </c>
      <c r="G64" s="50" t="s">
        <v>406</v>
      </c>
    </row>
    <row r="65" customFormat="false" ht="15" hidden="false" customHeight="false" outlineLevel="0" collapsed="false">
      <c r="A65" s="62" t="s">
        <v>292</v>
      </c>
      <c r="B65" s="50" t="s">
        <v>282</v>
      </c>
      <c r="C65" s="63" t="s">
        <v>401</v>
      </c>
      <c r="D65" s="64" t="s">
        <v>405</v>
      </c>
      <c r="E65" s="63" t="s">
        <v>401</v>
      </c>
      <c r="F65" s="64" t="s">
        <v>404</v>
      </c>
      <c r="G65" s="50" t="s">
        <v>406</v>
      </c>
    </row>
    <row r="66" customFormat="false" ht="15" hidden="false" customHeight="false" outlineLevel="0" collapsed="false">
      <c r="A66" s="62" t="s">
        <v>296</v>
      </c>
      <c r="B66" s="48" t="s">
        <v>266</v>
      </c>
      <c r="C66" s="63" t="s">
        <v>401</v>
      </c>
      <c r="D66" s="63" t="s">
        <v>401</v>
      </c>
      <c r="E66" s="63" t="s">
        <v>401</v>
      </c>
      <c r="F66" s="63" t="s">
        <v>401</v>
      </c>
      <c r="G66" s="48" t="s">
        <v>403</v>
      </c>
    </row>
    <row r="67" customFormat="false" ht="15" hidden="false" customHeight="false" outlineLevel="0" collapsed="false">
      <c r="A67" s="62" t="s">
        <v>298</v>
      </c>
      <c r="B67" s="48" t="s">
        <v>266</v>
      </c>
      <c r="C67" s="63" t="s">
        <v>401</v>
      </c>
      <c r="D67" s="63" t="s">
        <v>401</v>
      </c>
      <c r="E67" s="63" t="s">
        <v>401</v>
      </c>
      <c r="F67" s="63" t="s">
        <v>401</v>
      </c>
      <c r="G67" s="48" t="s">
        <v>403</v>
      </c>
    </row>
    <row r="68" customFormat="false" ht="15" hidden="false" customHeight="false" outlineLevel="0" collapsed="false">
      <c r="A68" s="62" t="s">
        <v>300</v>
      </c>
      <c r="B68" s="48" t="s">
        <v>266</v>
      </c>
      <c r="C68" s="63" t="s">
        <v>401</v>
      </c>
      <c r="D68" s="64" t="s">
        <v>405</v>
      </c>
      <c r="E68" s="63" t="s">
        <v>401</v>
      </c>
      <c r="F68" s="64" t="s">
        <v>404</v>
      </c>
      <c r="G68" s="48" t="s">
        <v>403</v>
      </c>
    </row>
    <row r="69" customFormat="false" ht="15" hidden="false" customHeight="false" outlineLevel="0" collapsed="false">
      <c r="A69" s="62" t="s">
        <v>303</v>
      </c>
      <c r="B69" s="48" t="s">
        <v>266</v>
      </c>
      <c r="C69" s="63" t="s">
        <v>401</v>
      </c>
      <c r="D69" s="63" t="s">
        <v>401</v>
      </c>
      <c r="E69" s="63" t="s">
        <v>401</v>
      </c>
      <c r="F69" s="64" t="s">
        <v>404</v>
      </c>
      <c r="G69" s="48" t="s">
        <v>403</v>
      </c>
    </row>
    <row r="70" customFormat="false" ht="15" hidden="false" customHeight="false" outlineLevel="0" collapsed="false">
      <c r="A70" s="62" t="s">
        <v>305</v>
      </c>
      <c r="B70" s="50" t="s">
        <v>282</v>
      </c>
      <c r="C70" s="63" t="s">
        <v>401</v>
      </c>
      <c r="D70" s="64" t="s">
        <v>405</v>
      </c>
      <c r="E70" s="63" t="s">
        <v>401</v>
      </c>
      <c r="F70" s="64" t="s">
        <v>404</v>
      </c>
      <c r="G70" s="50" t="s">
        <v>406</v>
      </c>
    </row>
    <row r="71" customFormat="false" ht="15" hidden="false" customHeight="false" outlineLevel="0" collapsed="false">
      <c r="A71" s="62" t="s">
        <v>307</v>
      </c>
      <c r="B71" s="50" t="s">
        <v>282</v>
      </c>
      <c r="C71" s="63" t="s">
        <v>401</v>
      </c>
      <c r="D71" s="64" t="s">
        <v>405</v>
      </c>
      <c r="E71" s="63" t="s">
        <v>401</v>
      </c>
      <c r="F71" s="64" t="s">
        <v>404</v>
      </c>
      <c r="G71" s="50" t="s">
        <v>406</v>
      </c>
    </row>
    <row r="72" customFormat="false" ht="15" hidden="false" customHeight="false" outlineLevel="0" collapsed="false">
      <c r="A72" s="62" t="s">
        <v>310</v>
      </c>
      <c r="B72" s="48" t="s">
        <v>266</v>
      </c>
      <c r="C72" s="63" t="s">
        <v>401</v>
      </c>
      <c r="D72" s="63" t="s">
        <v>401</v>
      </c>
      <c r="E72" s="63" t="s">
        <v>401</v>
      </c>
      <c r="F72" s="63" t="s">
        <v>401</v>
      </c>
      <c r="G72" s="48" t="s">
        <v>403</v>
      </c>
    </row>
    <row r="73" customFormat="false" ht="15" hidden="false" customHeight="false" outlineLevel="0" collapsed="false">
      <c r="A73" s="62" t="s">
        <v>312</v>
      </c>
      <c r="B73" s="50" t="s">
        <v>282</v>
      </c>
      <c r="C73" s="63" t="s">
        <v>401</v>
      </c>
      <c r="D73" s="63" t="s">
        <v>401</v>
      </c>
      <c r="E73" s="63" t="s">
        <v>401</v>
      </c>
      <c r="F73" s="64" t="s">
        <v>404</v>
      </c>
      <c r="G73" s="50" t="s">
        <v>406</v>
      </c>
    </row>
    <row r="74" customFormat="false" ht="15" hidden="false" customHeight="false" outlineLevel="0" collapsed="false">
      <c r="A74" s="62" t="s">
        <v>315</v>
      </c>
      <c r="B74" s="48" t="s">
        <v>266</v>
      </c>
      <c r="C74" s="63" t="s">
        <v>401</v>
      </c>
      <c r="D74" s="63" t="s">
        <v>401</v>
      </c>
      <c r="E74" s="63" t="s">
        <v>401</v>
      </c>
      <c r="F74" s="63" t="s">
        <v>401</v>
      </c>
      <c r="G74" s="48" t="s">
        <v>403</v>
      </c>
    </row>
    <row r="75" customFormat="false" ht="15" hidden="false" customHeight="false" outlineLevel="0" collapsed="false">
      <c r="A75" s="62" t="s">
        <v>317</v>
      </c>
      <c r="B75" s="50" t="s">
        <v>282</v>
      </c>
      <c r="C75" s="63" t="s">
        <v>401</v>
      </c>
      <c r="D75" s="64" t="s">
        <v>405</v>
      </c>
      <c r="E75" s="63" t="s">
        <v>401</v>
      </c>
      <c r="F75" s="64" t="s">
        <v>404</v>
      </c>
      <c r="G75" s="50" t="s">
        <v>406</v>
      </c>
    </row>
    <row r="76" customFormat="false" ht="15" hidden="false" customHeight="false" outlineLevel="0" collapsed="false">
      <c r="A76" s="62" t="s">
        <v>320</v>
      </c>
      <c r="B76" s="48" t="s">
        <v>266</v>
      </c>
      <c r="C76" s="63" t="s">
        <v>401</v>
      </c>
      <c r="D76" s="63" t="s">
        <v>401</v>
      </c>
      <c r="E76" s="63" t="s">
        <v>401</v>
      </c>
      <c r="F76" s="63" t="s">
        <v>401</v>
      </c>
      <c r="G76" s="48" t="s">
        <v>403</v>
      </c>
    </row>
    <row r="77" customFormat="false" ht="15" hidden="false" customHeight="false" outlineLevel="0" collapsed="false">
      <c r="A77" s="62" t="s">
        <v>322</v>
      </c>
      <c r="B77" s="41" t="s">
        <v>261</v>
      </c>
      <c r="C77" s="63" t="s">
        <v>401</v>
      </c>
      <c r="D77" s="63" t="s">
        <v>401</v>
      </c>
      <c r="E77" s="63" t="s">
        <v>401</v>
      </c>
      <c r="F77" s="63" t="s">
        <v>401</v>
      </c>
      <c r="G77" s="41" t="s">
        <v>402</v>
      </c>
    </row>
    <row r="78" customFormat="false" ht="15" hidden="false" customHeight="false" outlineLevel="0" collapsed="false">
      <c r="A78" s="62" t="s">
        <v>324</v>
      </c>
      <c r="B78" s="41" t="s">
        <v>261</v>
      </c>
      <c r="C78" s="63" t="s">
        <v>401</v>
      </c>
      <c r="D78" s="63" t="s">
        <v>401</v>
      </c>
      <c r="E78" s="63" t="s">
        <v>401</v>
      </c>
      <c r="F78" s="63" t="s">
        <v>401</v>
      </c>
      <c r="G78" s="41" t="s">
        <v>402</v>
      </c>
    </row>
  </sheetData>
  <mergeCells count="40">
    <mergeCell ref="A4:G4"/>
    <mergeCell ref="A5:G5"/>
    <mergeCell ref="B7:G7"/>
    <mergeCell ref="B8:G8"/>
    <mergeCell ref="B9:G9"/>
    <mergeCell ref="B10:G10"/>
    <mergeCell ref="B11:G11"/>
    <mergeCell ref="B12:G12"/>
    <mergeCell ref="B13:G13"/>
    <mergeCell ref="B14:G14"/>
    <mergeCell ref="B15:G15"/>
    <mergeCell ref="A17:G17"/>
    <mergeCell ref="A18:G18"/>
    <mergeCell ref="B20:G20"/>
    <mergeCell ref="B21:G21"/>
    <mergeCell ref="B22:G22"/>
    <mergeCell ref="B23:G23"/>
    <mergeCell ref="B24:G24"/>
    <mergeCell ref="B25:G25"/>
    <mergeCell ref="B26:G26"/>
    <mergeCell ref="A28:G28"/>
    <mergeCell ref="A29:G29"/>
    <mergeCell ref="B31:G31"/>
    <mergeCell ref="B32:G32"/>
    <mergeCell ref="B33:G33"/>
    <mergeCell ref="B34:G34"/>
    <mergeCell ref="B35:G35"/>
    <mergeCell ref="B36:G36"/>
    <mergeCell ref="B37:G37"/>
    <mergeCell ref="B38:G38"/>
    <mergeCell ref="A40:G40"/>
    <mergeCell ref="A41:G41"/>
    <mergeCell ref="B43:G43"/>
    <mergeCell ref="B44:G44"/>
    <mergeCell ref="B45:G45"/>
    <mergeCell ref="B46:G46"/>
    <mergeCell ref="B47:G47"/>
    <mergeCell ref="B48:G48"/>
    <mergeCell ref="B49:G49"/>
    <mergeCell ref="B50:G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52"/>
    <col collapsed="false" customWidth="true" hidden="false" outlineLevel="0" max="5" min="3" style="0" width="12"/>
  </cols>
  <sheetData>
    <row r="1" customFormat="false" ht="21.75" hidden="false" customHeight="true" outlineLevel="0" collapsed="false">
      <c r="A1" s="1" t="s">
        <v>407</v>
      </c>
    </row>
    <row r="2" customFormat="false" ht="15.75" hidden="false" customHeight="true" outlineLevel="0" collapsed="false">
      <c r="A2" s="2" t="s">
        <v>408</v>
      </c>
    </row>
    <row r="4" customFormat="false" ht="483.55" hidden="false" customHeight="false" outlineLevel="0" collapsed="false">
      <c r="A4" s="65" t="s">
        <v>409</v>
      </c>
    </row>
    <row r="6" customFormat="false" ht="23.85" hidden="false" customHeight="false" outlineLevel="0" collapsed="false">
      <c r="A6" s="5" t="s">
        <v>113</v>
      </c>
      <c r="B6" s="6" t="s">
        <v>410</v>
      </c>
      <c r="C6" s="6" t="s">
        <v>411</v>
      </c>
      <c r="D6" s="6" t="s">
        <v>412</v>
      </c>
      <c r="E6" s="6" t="s">
        <v>413</v>
      </c>
    </row>
    <row r="7" customFormat="false" ht="247.75" hidden="false" customHeight="false" outlineLevel="0" collapsed="false">
      <c r="A7" s="20" t="s">
        <v>414</v>
      </c>
      <c r="B7" s="21" t="s">
        <v>415</v>
      </c>
      <c r="C7" s="21" t="s">
        <v>416</v>
      </c>
      <c r="D7" s="21" t="s">
        <v>417</v>
      </c>
      <c r="E7" s="21" t="s">
        <v>418</v>
      </c>
    </row>
    <row r="8" customFormat="false" ht="225.35" hidden="false" customHeight="false" outlineLevel="0" collapsed="false">
      <c r="A8" s="14" t="s">
        <v>419</v>
      </c>
      <c r="B8" s="9" t="s">
        <v>420</v>
      </c>
      <c r="C8" s="9" t="s">
        <v>421</v>
      </c>
      <c r="D8" s="9" t="s">
        <v>422</v>
      </c>
      <c r="E8" s="9" t="s">
        <v>423</v>
      </c>
    </row>
    <row r="9" customFormat="false" ht="258.95" hidden="false" customHeight="false" outlineLevel="0" collapsed="false">
      <c r="A9" s="22" t="s">
        <v>424</v>
      </c>
      <c r="B9" s="23" t="s">
        <v>425</v>
      </c>
      <c r="C9" s="23" t="s">
        <v>426</v>
      </c>
      <c r="D9" s="23" t="s">
        <v>427</v>
      </c>
      <c r="E9" s="23" t="s">
        <v>428</v>
      </c>
    </row>
    <row r="10" customFormat="false" ht="214.15" hidden="false" customHeight="false" outlineLevel="0" collapsed="false">
      <c r="A10" s="24" t="s">
        <v>429</v>
      </c>
      <c r="B10" s="25" t="s">
        <v>430</v>
      </c>
      <c r="C10" s="25" t="s">
        <v>431</v>
      </c>
      <c r="D10" s="25" t="s">
        <v>432</v>
      </c>
      <c r="E10" s="25" t="s">
        <v>433</v>
      </c>
    </row>
    <row r="11" customFormat="false" ht="247.75" hidden="false" customHeight="false" outlineLevel="0" collapsed="false">
      <c r="A11" s="66" t="s">
        <v>434</v>
      </c>
      <c r="B11" s="67" t="s">
        <v>435</v>
      </c>
      <c r="C11" s="67" t="s">
        <v>436</v>
      </c>
      <c r="D11" s="67" t="s">
        <v>437</v>
      </c>
      <c r="E11" s="67" t="s">
        <v>438</v>
      </c>
    </row>
    <row r="12" customFormat="false" ht="292.5" hidden="false" customHeight="false" outlineLevel="0" collapsed="false">
      <c r="A12" s="68" t="s">
        <v>439</v>
      </c>
      <c r="B12" s="69" t="s">
        <v>440</v>
      </c>
      <c r="C12" s="69" t="s">
        <v>441</v>
      </c>
      <c r="D12" s="69" t="s">
        <v>442</v>
      </c>
      <c r="E12" s="69" t="s">
        <v>443</v>
      </c>
    </row>
    <row r="14" customFormat="false" ht="15" hidden="false" customHeight="false" outlineLevel="0" collapsed="false">
      <c r="A14" s="4" t="s">
        <v>444</v>
      </c>
    </row>
    <row r="15" customFormat="false" ht="15" hidden="false" customHeight="false" outlineLevel="0" collapsed="false">
      <c r="A15" s="11" t="s">
        <v>71</v>
      </c>
      <c r="B15" s="12" t="s">
        <v>445</v>
      </c>
      <c r="C15" s="12" t="s">
        <v>446</v>
      </c>
      <c r="D15" s="12" t="s">
        <v>447</v>
      </c>
      <c r="E15" s="12" t="s">
        <v>448</v>
      </c>
    </row>
    <row r="16" customFormat="false" ht="15" hidden="false" customHeight="false" outlineLevel="0" collapsed="false">
      <c r="A16" s="40" t="s">
        <v>449</v>
      </c>
      <c r="B16" s="39" t="s">
        <v>450</v>
      </c>
      <c r="C16" s="63" t="s">
        <v>401</v>
      </c>
      <c r="D16" s="63" t="s">
        <v>401</v>
      </c>
      <c r="E16" s="63" t="s">
        <v>401</v>
      </c>
    </row>
    <row r="17" customFormat="false" ht="15" hidden="false" customHeight="false" outlineLevel="0" collapsed="false">
      <c r="A17" s="47" t="s">
        <v>451</v>
      </c>
      <c r="B17" s="46" t="s">
        <v>452</v>
      </c>
      <c r="C17" s="63" t="s">
        <v>401</v>
      </c>
      <c r="D17" s="63" t="s">
        <v>401</v>
      </c>
      <c r="E17" s="63" t="s">
        <v>401</v>
      </c>
    </row>
    <row r="18" customFormat="false" ht="15" hidden="false" customHeight="false" outlineLevel="0" collapsed="false">
      <c r="A18" s="40" t="s">
        <v>453</v>
      </c>
      <c r="B18" s="39" t="s">
        <v>454</v>
      </c>
      <c r="C18" s="63" t="s">
        <v>401</v>
      </c>
      <c r="D18" s="63" t="s">
        <v>401</v>
      </c>
      <c r="E18" s="63" t="s">
        <v>401</v>
      </c>
    </row>
    <row r="19" customFormat="false" ht="15" hidden="false" customHeight="false" outlineLevel="0" collapsed="false">
      <c r="A19" s="47" t="s">
        <v>455</v>
      </c>
      <c r="B19" s="46" t="s">
        <v>456</v>
      </c>
      <c r="C19" s="63" t="s">
        <v>401</v>
      </c>
      <c r="D19" s="63" t="s">
        <v>401</v>
      </c>
      <c r="E19" s="63" t="s">
        <v>401</v>
      </c>
    </row>
    <row r="20" customFormat="false" ht="15" hidden="false" customHeight="false" outlineLevel="0" collapsed="false">
      <c r="A20" s="40" t="s">
        <v>457</v>
      </c>
      <c r="B20" s="39" t="s">
        <v>458</v>
      </c>
      <c r="C20" s="63" t="s">
        <v>401</v>
      </c>
      <c r="D20" s="63" t="s">
        <v>401</v>
      </c>
      <c r="E20" s="64" t="s">
        <v>459</v>
      </c>
    </row>
    <row r="21" customFormat="false" ht="15" hidden="false" customHeight="false" outlineLevel="0" collapsed="false">
      <c r="A21" s="47" t="s">
        <v>460</v>
      </c>
      <c r="B21" s="46" t="s">
        <v>461</v>
      </c>
      <c r="C21" s="63" t="s">
        <v>401</v>
      </c>
      <c r="D21" s="63" t="s">
        <v>401</v>
      </c>
      <c r="E21" s="63" t="s">
        <v>401</v>
      </c>
    </row>
    <row r="22" customFormat="false" ht="15" hidden="false" customHeight="false" outlineLevel="0" collapsed="false">
      <c r="A22" s="40" t="s">
        <v>462</v>
      </c>
      <c r="B22" s="39" t="s">
        <v>463</v>
      </c>
      <c r="C22" s="63" t="s">
        <v>401</v>
      </c>
      <c r="D22" s="63" t="s">
        <v>401</v>
      </c>
      <c r="E22" s="64" t="s">
        <v>405</v>
      </c>
    </row>
    <row r="23" customFormat="false" ht="15" hidden="false" customHeight="false" outlineLevel="0" collapsed="false">
      <c r="A23" s="47" t="s">
        <v>464</v>
      </c>
      <c r="B23" s="46" t="s">
        <v>465</v>
      </c>
      <c r="C23" s="63" t="s">
        <v>401</v>
      </c>
      <c r="D23" s="63" t="s">
        <v>401</v>
      </c>
      <c r="E23" s="70" t="s">
        <v>466</v>
      </c>
    </row>
    <row r="24" customFormat="false" ht="15" hidden="false" customHeight="false" outlineLevel="0" collapsed="false">
      <c r="A24" s="40" t="s">
        <v>467</v>
      </c>
      <c r="B24" s="39" t="s">
        <v>468</v>
      </c>
      <c r="C24" s="63" t="s">
        <v>401</v>
      </c>
      <c r="D24" s="64" t="s">
        <v>405</v>
      </c>
      <c r="E24" s="70" t="s">
        <v>466</v>
      </c>
    </row>
    <row r="25" customFormat="false" ht="15" hidden="false" customHeight="false" outlineLevel="0" collapsed="false">
      <c r="A25" s="47" t="s">
        <v>469</v>
      </c>
      <c r="B25" s="46" t="s">
        <v>470</v>
      </c>
      <c r="C25" s="63" t="s">
        <v>401</v>
      </c>
      <c r="D25" s="64" t="s">
        <v>405</v>
      </c>
      <c r="E25" s="70" t="s">
        <v>466</v>
      </c>
    </row>
    <row r="26" customFormat="false" ht="22.35" hidden="false" customHeight="false" outlineLevel="0" collapsed="false">
      <c r="A26" s="40" t="s">
        <v>471</v>
      </c>
      <c r="B26" s="39" t="s">
        <v>472</v>
      </c>
      <c r="C26" s="63" t="s">
        <v>401</v>
      </c>
      <c r="D26" s="71" t="s">
        <v>473</v>
      </c>
      <c r="E26" s="70" t="s">
        <v>466</v>
      </c>
    </row>
    <row r="27" customFormat="false" ht="22.35" hidden="false" customHeight="false" outlineLevel="0" collapsed="false">
      <c r="A27" s="47" t="s">
        <v>474</v>
      </c>
      <c r="B27" s="46" t="s">
        <v>475</v>
      </c>
      <c r="C27" s="63" t="s">
        <v>401</v>
      </c>
      <c r="D27" s="63" t="s">
        <v>401</v>
      </c>
      <c r="E27" s="71" t="s">
        <v>473</v>
      </c>
    </row>
    <row r="28" customFormat="false" ht="15" hidden="false" customHeight="false" outlineLevel="0" collapsed="false">
      <c r="A28" s="40" t="s">
        <v>476</v>
      </c>
      <c r="B28" s="39" t="s">
        <v>477</v>
      </c>
      <c r="C28" s="63" t="s">
        <v>401</v>
      </c>
      <c r="D28" s="63" t="s">
        <v>401</v>
      </c>
      <c r="E28" s="63" t="s">
        <v>401</v>
      </c>
    </row>
    <row r="29" customFormat="false" ht="15" hidden="false" customHeight="false" outlineLevel="0" collapsed="false">
      <c r="A29" s="47" t="s">
        <v>478</v>
      </c>
      <c r="B29" s="46" t="s">
        <v>479</v>
      </c>
      <c r="C29" s="63" t="s">
        <v>401</v>
      </c>
      <c r="D29" s="63" t="s">
        <v>401</v>
      </c>
      <c r="E29" s="64" t="s">
        <v>406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 min="2" style="0" width="46"/>
    <col collapsed="false" customWidth="true" hidden="false" outlineLevel="0" max="4" min="4" style="0" width="40"/>
    <col collapsed="false" customWidth="true" hidden="false" outlineLevel="0" max="5" min="5" style="0" width="16"/>
  </cols>
  <sheetData>
    <row r="1" customFormat="false" ht="21.75" hidden="false" customHeight="true" outlineLevel="0" collapsed="false">
      <c r="A1" s="1" t="s">
        <v>480</v>
      </c>
    </row>
    <row r="2" customFormat="false" ht="15.75" hidden="false" customHeight="true" outlineLevel="0" collapsed="false">
      <c r="A2" s="2" t="s">
        <v>481</v>
      </c>
    </row>
    <row r="4" customFormat="false" ht="15" hidden="false" customHeight="false" outlineLevel="0" collapsed="false">
      <c r="A4" s="5" t="s">
        <v>482</v>
      </c>
      <c r="B4" s="6" t="s">
        <v>483</v>
      </c>
      <c r="C4" s="6" t="s">
        <v>484</v>
      </c>
      <c r="D4" s="6" t="s">
        <v>485</v>
      </c>
      <c r="E4" s="6" t="s">
        <v>486</v>
      </c>
    </row>
    <row r="5" customFormat="false" ht="120" hidden="false" customHeight="true" outlineLevel="0" collapsed="false">
      <c r="A5" s="14" t="s">
        <v>487</v>
      </c>
      <c r="B5" s="9" t="s">
        <v>488</v>
      </c>
      <c r="C5" s="9" t="s">
        <v>489</v>
      </c>
      <c r="D5" s="9" t="s">
        <v>490</v>
      </c>
      <c r="E5" s="14" t="s">
        <v>491</v>
      </c>
    </row>
    <row r="6" customFormat="false" ht="120" hidden="false" customHeight="true" outlineLevel="0" collapsed="false">
      <c r="A6" s="20" t="s">
        <v>492</v>
      </c>
      <c r="B6" s="21" t="s">
        <v>493</v>
      </c>
      <c r="C6" s="21" t="s">
        <v>494</v>
      </c>
      <c r="D6" s="21" t="s">
        <v>495</v>
      </c>
      <c r="E6" s="20" t="s">
        <v>496</v>
      </c>
    </row>
    <row r="7" customFormat="false" ht="120" hidden="false" customHeight="true" outlineLevel="0" collapsed="false">
      <c r="A7" s="22" t="s">
        <v>497</v>
      </c>
      <c r="B7" s="23" t="s">
        <v>498</v>
      </c>
      <c r="C7" s="23" t="s">
        <v>499</v>
      </c>
      <c r="D7" s="23" t="s">
        <v>500</v>
      </c>
      <c r="E7" s="22" t="s">
        <v>501</v>
      </c>
    </row>
    <row r="8" customFormat="false" ht="120" hidden="false" customHeight="true" outlineLevel="0" collapsed="false">
      <c r="A8" s="24" t="s">
        <v>502</v>
      </c>
      <c r="B8" s="25" t="s">
        <v>503</v>
      </c>
      <c r="C8" s="25" t="s">
        <v>504</v>
      </c>
      <c r="D8" s="25" t="s">
        <v>505</v>
      </c>
      <c r="E8" s="24" t="s">
        <v>506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0"/>
    <col collapsed="false" customWidth="true" hidden="false" outlineLevel="0" max="3" min="3" style="0" width="28"/>
    <col collapsed="false" customWidth="true" hidden="false" outlineLevel="0" max="4" min="4" style="0" width="18"/>
    <col collapsed="false" customWidth="true" hidden="false" outlineLevel="0" max="5" min="5" style="0" width="9"/>
    <col collapsed="false" customWidth="true" hidden="false" outlineLevel="0" max="6" min="6" style="0" width="12"/>
    <col collapsed="false" customWidth="true" hidden="false" outlineLevel="0" max="7" min="7" style="0" width="7"/>
    <col collapsed="false" customWidth="true" hidden="false" outlineLevel="0" max="8" min="8" style="0" width="13"/>
    <col collapsed="false" customWidth="true" hidden="false" outlineLevel="0" max="9" min="9" style="0" width="14"/>
    <col collapsed="false" customWidth="true" hidden="false" outlineLevel="0" max="11" min="10" style="0" width="11"/>
    <col collapsed="false" customWidth="true" hidden="false" outlineLevel="0" max="12" min="12" style="0" width="16"/>
  </cols>
  <sheetData>
    <row r="1" customFormat="false" ht="21.75" hidden="false" customHeight="true" outlineLevel="0" collapsed="false">
      <c r="A1" s="1" t="s">
        <v>507</v>
      </c>
    </row>
    <row r="2" customFormat="false" ht="15.75" hidden="false" customHeight="true" outlineLevel="0" collapsed="false">
      <c r="A2" s="2" t="s">
        <v>508</v>
      </c>
    </row>
    <row r="4" customFormat="false" ht="23.85" hidden="false" customHeight="false" outlineLevel="0" collapsed="false">
      <c r="A4" s="5" t="s">
        <v>71</v>
      </c>
      <c r="B4" s="6" t="s">
        <v>253</v>
      </c>
      <c r="C4" s="6" t="s">
        <v>254</v>
      </c>
      <c r="D4" s="6" t="s">
        <v>92</v>
      </c>
      <c r="E4" s="6" t="s">
        <v>255</v>
      </c>
      <c r="F4" s="6" t="s">
        <v>509</v>
      </c>
      <c r="G4" s="6" t="s">
        <v>142</v>
      </c>
      <c r="H4" s="6" t="s">
        <v>396</v>
      </c>
      <c r="I4" s="6" t="s">
        <v>397</v>
      </c>
      <c r="J4" s="6" t="s">
        <v>398</v>
      </c>
      <c r="K4" s="6" t="s">
        <v>399</v>
      </c>
      <c r="L4" s="6" t="s">
        <v>510</v>
      </c>
    </row>
    <row r="5" customFormat="false" ht="15" hidden="false" customHeight="false" outlineLevel="0" collapsed="false">
      <c r="A5" s="72" t="n">
        <v>1</v>
      </c>
      <c r="B5" s="39" t="s">
        <v>259</v>
      </c>
      <c r="C5" s="73" t="s">
        <v>260</v>
      </c>
      <c r="D5" s="49" t="s">
        <v>511</v>
      </c>
      <c r="E5" s="41" t="s">
        <v>261</v>
      </c>
      <c r="F5" s="43" t="s">
        <v>263</v>
      </c>
      <c r="G5" s="74" t="s">
        <v>512</v>
      </c>
      <c r="H5" s="63" t="s">
        <v>401</v>
      </c>
      <c r="I5" s="63" t="s">
        <v>401</v>
      </c>
      <c r="J5" s="63" t="s">
        <v>401</v>
      </c>
      <c r="K5" s="63" t="s">
        <v>401</v>
      </c>
      <c r="L5" s="41" t="s">
        <v>402</v>
      </c>
    </row>
    <row r="6" customFormat="false" ht="15" hidden="false" customHeight="false" outlineLevel="0" collapsed="false">
      <c r="A6" s="72" t="n">
        <v>2</v>
      </c>
      <c r="B6" s="39" t="s">
        <v>259</v>
      </c>
      <c r="C6" s="73" t="s">
        <v>265</v>
      </c>
      <c r="D6" s="49" t="s">
        <v>511</v>
      </c>
      <c r="E6" s="48" t="s">
        <v>266</v>
      </c>
      <c r="F6" s="49" t="s">
        <v>267</v>
      </c>
      <c r="G6" s="74" t="s">
        <v>165</v>
      </c>
      <c r="H6" s="63" t="s">
        <v>401</v>
      </c>
      <c r="I6" s="63" t="s">
        <v>401</v>
      </c>
      <c r="J6" s="63" t="s">
        <v>401</v>
      </c>
      <c r="K6" s="63" t="s">
        <v>401</v>
      </c>
      <c r="L6" s="48" t="s">
        <v>403</v>
      </c>
    </row>
    <row r="7" customFormat="false" ht="15" hidden="false" customHeight="false" outlineLevel="0" collapsed="false">
      <c r="A7" s="72" t="n">
        <v>3</v>
      </c>
      <c r="B7" s="39" t="s">
        <v>259</v>
      </c>
      <c r="C7" s="73" t="s">
        <v>269</v>
      </c>
      <c r="D7" s="43" t="s">
        <v>513</v>
      </c>
      <c r="E7" s="48" t="s">
        <v>266</v>
      </c>
      <c r="F7" s="49" t="s">
        <v>267</v>
      </c>
      <c r="G7" s="74" t="s">
        <v>514</v>
      </c>
      <c r="H7" s="63" t="s">
        <v>401</v>
      </c>
      <c r="I7" s="63" t="s">
        <v>401</v>
      </c>
      <c r="J7" s="63" t="s">
        <v>401</v>
      </c>
      <c r="K7" s="63" t="s">
        <v>401</v>
      </c>
      <c r="L7" s="48" t="s">
        <v>403</v>
      </c>
    </row>
    <row r="8" customFormat="false" ht="15" hidden="false" customHeight="false" outlineLevel="0" collapsed="false">
      <c r="A8" s="72" t="n">
        <v>4</v>
      </c>
      <c r="B8" s="39" t="s">
        <v>271</v>
      </c>
      <c r="C8" s="73" t="s">
        <v>272</v>
      </c>
      <c r="D8" s="51" t="s">
        <v>515</v>
      </c>
      <c r="E8" s="48" t="s">
        <v>266</v>
      </c>
      <c r="F8" s="49" t="s">
        <v>267</v>
      </c>
      <c r="G8" s="74" t="s">
        <v>165</v>
      </c>
      <c r="H8" s="63" t="s">
        <v>401</v>
      </c>
      <c r="I8" s="63" t="s">
        <v>401</v>
      </c>
      <c r="J8" s="63" t="s">
        <v>401</v>
      </c>
      <c r="K8" s="64" t="s">
        <v>404</v>
      </c>
      <c r="L8" s="48" t="s">
        <v>403</v>
      </c>
    </row>
    <row r="9" customFormat="false" ht="15" hidden="false" customHeight="false" outlineLevel="0" collapsed="false">
      <c r="A9" s="72" t="n">
        <v>5</v>
      </c>
      <c r="B9" s="39" t="s">
        <v>271</v>
      </c>
      <c r="C9" s="73" t="s">
        <v>274</v>
      </c>
      <c r="D9" s="49" t="s">
        <v>511</v>
      </c>
      <c r="E9" s="48" t="s">
        <v>266</v>
      </c>
      <c r="F9" s="43" t="s">
        <v>263</v>
      </c>
      <c r="G9" s="74" t="s">
        <v>514</v>
      </c>
      <c r="H9" s="63" t="s">
        <v>401</v>
      </c>
      <c r="I9" s="63" t="s">
        <v>401</v>
      </c>
      <c r="J9" s="63" t="s">
        <v>401</v>
      </c>
      <c r="K9" s="63" t="s">
        <v>401</v>
      </c>
      <c r="L9" s="48" t="s">
        <v>403</v>
      </c>
    </row>
    <row r="10" customFormat="false" ht="15" hidden="false" customHeight="false" outlineLevel="0" collapsed="false">
      <c r="A10" s="72" t="n">
        <v>6</v>
      </c>
      <c r="B10" s="39" t="s">
        <v>271</v>
      </c>
      <c r="C10" s="73" t="s">
        <v>276</v>
      </c>
      <c r="D10" s="49" t="s">
        <v>511</v>
      </c>
      <c r="E10" s="48" t="s">
        <v>266</v>
      </c>
      <c r="F10" s="49" t="s">
        <v>267</v>
      </c>
      <c r="G10" s="74" t="s">
        <v>165</v>
      </c>
      <c r="H10" s="63" t="s">
        <v>401</v>
      </c>
      <c r="I10" s="64" t="s">
        <v>405</v>
      </c>
      <c r="J10" s="63" t="s">
        <v>401</v>
      </c>
      <c r="K10" s="64" t="s">
        <v>404</v>
      </c>
      <c r="L10" s="48" t="s">
        <v>403</v>
      </c>
    </row>
    <row r="11" customFormat="false" ht="15" hidden="false" customHeight="false" outlineLevel="0" collapsed="false">
      <c r="A11" s="72" t="n">
        <v>7</v>
      </c>
      <c r="B11" s="39" t="s">
        <v>278</v>
      </c>
      <c r="C11" s="73" t="s">
        <v>279</v>
      </c>
      <c r="D11" s="49" t="s">
        <v>511</v>
      </c>
      <c r="E11" s="41" t="s">
        <v>261</v>
      </c>
      <c r="F11" s="43" t="s">
        <v>263</v>
      </c>
      <c r="G11" s="74" t="s">
        <v>514</v>
      </c>
      <c r="H11" s="63" t="s">
        <v>401</v>
      </c>
      <c r="I11" s="63" t="s">
        <v>401</v>
      </c>
      <c r="J11" s="63" t="s">
        <v>401</v>
      </c>
      <c r="K11" s="63" t="s">
        <v>401</v>
      </c>
      <c r="L11" s="41" t="s">
        <v>402</v>
      </c>
    </row>
    <row r="12" customFormat="false" ht="15" hidden="false" customHeight="false" outlineLevel="0" collapsed="false">
      <c r="A12" s="72" t="n">
        <v>8</v>
      </c>
      <c r="B12" s="39" t="s">
        <v>278</v>
      </c>
      <c r="C12" s="73" t="s">
        <v>281</v>
      </c>
      <c r="D12" s="49" t="s">
        <v>511</v>
      </c>
      <c r="E12" s="50" t="s">
        <v>282</v>
      </c>
      <c r="F12" s="49" t="s">
        <v>267</v>
      </c>
      <c r="G12" s="74" t="s">
        <v>165</v>
      </c>
      <c r="H12" s="63" t="s">
        <v>401</v>
      </c>
      <c r="I12" s="63" t="s">
        <v>401</v>
      </c>
      <c r="J12" s="63" t="s">
        <v>401</v>
      </c>
      <c r="K12" s="64" t="s">
        <v>404</v>
      </c>
      <c r="L12" s="50" t="s">
        <v>406</v>
      </c>
    </row>
    <row r="13" customFormat="false" ht="15" hidden="false" customHeight="false" outlineLevel="0" collapsed="false">
      <c r="A13" s="72" t="n">
        <v>9</v>
      </c>
      <c r="B13" s="39" t="s">
        <v>284</v>
      </c>
      <c r="C13" s="73" t="s">
        <v>285</v>
      </c>
      <c r="D13" s="49" t="s">
        <v>511</v>
      </c>
      <c r="E13" s="41" t="s">
        <v>261</v>
      </c>
      <c r="F13" s="43" t="s">
        <v>263</v>
      </c>
      <c r="G13" s="74" t="s">
        <v>514</v>
      </c>
      <c r="H13" s="63" t="s">
        <v>401</v>
      </c>
      <c r="I13" s="63" t="s">
        <v>401</v>
      </c>
      <c r="J13" s="63" t="s">
        <v>401</v>
      </c>
      <c r="K13" s="63" t="s">
        <v>401</v>
      </c>
      <c r="L13" s="41" t="s">
        <v>402</v>
      </c>
    </row>
    <row r="14" customFormat="false" ht="15" hidden="false" customHeight="false" outlineLevel="0" collapsed="false">
      <c r="A14" s="72" t="n">
        <v>10</v>
      </c>
      <c r="B14" s="39" t="s">
        <v>284</v>
      </c>
      <c r="C14" s="73" t="s">
        <v>287</v>
      </c>
      <c r="D14" s="51" t="s">
        <v>515</v>
      </c>
      <c r="E14" s="48" t="s">
        <v>266</v>
      </c>
      <c r="F14" s="49" t="s">
        <v>267</v>
      </c>
      <c r="G14" s="74" t="s">
        <v>147</v>
      </c>
      <c r="H14" s="63" t="s">
        <v>401</v>
      </c>
      <c r="I14" s="63" t="s">
        <v>401</v>
      </c>
      <c r="J14" s="63" t="s">
        <v>401</v>
      </c>
      <c r="K14" s="64" t="s">
        <v>404</v>
      </c>
      <c r="L14" s="48" t="s">
        <v>403</v>
      </c>
    </row>
    <row r="15" customFormat="false" ht="15" hidden="false" customHeight="false" outlineLevel="0" collapsed="false">
      <c r="A15" s="72" t="n">
        <v>11</v>
      </c>
      <c r="B15" s="39" t="s">
        <v>289</v>
      </c>
      <c r="C15" s="73" t="s">
        <v>290</v>
      </c>
      <c r="D15" s="51" t="s">
        <v>515</v>
      </c>
      <c r="E15" s="50" t="s">
        <v>282</v>
      </c>
      <c r="F15" s="49" t="s">
        <v>267</v>
      </c>
      <c r="G15" s="74" t="s">
        <v>165</v>
      </c>
      <c r="H15" s="63" t="s">
        <v>401</v>
      </c>
      <c r="I15" s="63" t="s">
        <v>401</v>
      </c>
      <c r="J15" s="63" t="s">
        <v>401</v>
      </c>
      <c r="K15" s="64" t="s">
        <v>404</v>
      </c>
      <c r="L15" s="50" t="s">
        <v>406</v>
      </c>
    </row>
    <row r="16" customFormat="false" ht="15" hidden="false" customHeight="false" outlineLevel="0" collapsed="false">
      <c r="A16" s="72" t="n">
        <v>12</v>
      </c>
      <c r="B16" s="39" t="s">
        <v>289</v>
      </c>
      <c r="C16" s="73" t="s">
        <v>292</v>
      </c>
      <c r="D16" s="51" t="s">
        <v>515</v>
      </c>
      <c r="E16" s="50" t="s">
        <v>282</v>
      </c>
      <c r="F16" s="51" t="s">
        <v>293</v>
      </c>
      <c r="G16" s="74" t="s">
        <v>147</v>
      </c>
      <c r="H16" s="63" t="s">
        <v>401</v>
      </c>
      <c r="I16" s="64" t="s">
        <v>405</v>
      </c>
      <c r="J16" s="63" t="s">
        <v>401</v>
      </c>
      <c r="K16" s="64" t="s">
        <v>404</v>
      </c>
      <c r="L16" s="50" t="s">
        <v>406</v>
      </c>
    </row>
    <row r="17" customFormat="false" ht="15" hidden="false" customHeight="false" outlineLevel="0" collapsed="false">
      <c r="A17" s="72" t="n">
        <v>13</v>
      </c>
      <c r="B17" s="39" t="s">
        <v>295</v>
      </c>
      <c r="C17" s="73" t="s">
        <v>296</v>
      </c>
      <c r="D17" s="51" t="s">
        <v>515</v>
      </c>
      <c r="E17" s="48" t="s">
        <v>266</v>
      </c>
      <c r="F17" s="49" t="s">
        <v>267</v>
      </c>
      <c r="G17" s="74" t="s">
        <v>165</v>
      </c>
      <c r="H17" s="63" t="s">
        <v>401</v>
      </c>
      <c r="I17" s="63" t="s">
        <v>401</v>
      </c>
      <c r="J17" s="63" t="s">
        <v>401</v>
      </c>
      <c r="K17" s="63" t="s">
        <v>401</v>
      </c>
      <c r="L17" s="48" t="s">
        <v>403</v>
      </c>
    </row>
    <row r="18" customFormat="false" ht="15" hidden="false" customHeight="false" outlineLevel="0" collapsed="false">
      <c r="A18" s="72" t="n">
        <v>14</v>
      </c>
      <c r="B18" s="39" t="s">
        <v>295</v>
      </c>
      <c r="C18" s="73" t="s">
        <v>298</v>
      </c>
      <c r="D18" s="51" t="s">
        <v>515</v>
      </c>
      <c r="E18" s="48" t="s">
        <v>266</v>
      </c>
      <c r="F18" s="49" t="s">
        <v>267</v>
      </c>
      <c r="G18" s="74" t="s">
        <v>514</v>
      </c>
      <c r="H18" s="63" t="s">
        <v>401</v>
      </c>
      <c r="I18" s="63" t="s">
        <v>401</v>
      </c>
      <c r="J18" s="63" t="s">
        <v>401</v>
      </c>
      <c r="K18" s="63" t="s">
        <v>401</v>
      </c>
      <c r="L18" s="48" t="s">
        <v>403</v>
      </c>
    </row>
    <row r="19" customFormat="false" ht="15" hidden="false" customHeight="false" outlineLevel="0" collapsed="false">
      <c r="A19" s="72" t="n">
        <v>15</v>
      </c>
      <c r="B19" s="39" t="s">
        <v>295</v>
      </c>
      <c r="C19" s="73" t="s">
        <v>300</v>
      </c>
      <c r="D19" s="43" t="s">
        <v>513</v>
      </c>
      <c r="E19" s="48" t="s">
        <v>266</v>
      </c>
      <c r="F19" s="43" t="s">
        <v>263</v>
      </c>
      <c r="G19" s="74" t="s">
        <v>514</v>
      </c>
      <c r="H19" s="63" t="s">
        <v>401</v>
      </c>
      <c r="I19" s="64" t="s">
        <v>405</v>
      </c>
      <c r="J19" s="63" t="s">
        <v>401</v>
      </c>
      <c r="K19" s="64" t="s">
        <v>404</v>
      </c>
      <c r="L19" s="48" t="s">
        <v>403</v>
      </c>
    </row>
    <row r="20" customFormat="false" ht="15" hidden="false" customHeight="false" outlineLevel="0" collapsed="false">
      <c r="A20" s="72" t="n">
        <v>16</v>
      </c>
      <c r="B20" s="39" t="s">
        <v>302</v>
      </c>
      <c r="C20" s="73" t="s">
        <v>303</v>
      </c>
      <c r="D20" s="49" t="s">
        <v>511</v>
      </c>
      <c r="E20" s="48" t="s">
        <v>266</v>
      </c>
      <c r="F20" s="49" t="s">
        <v>267</v>
      </c>
      <c r="G20" s="74" t="s">
        <v>165</v>
      </c>
      <c r="H20" s="63" t="s">
        <v>401</v>
      </c>
      <c r="I20" s="63" t="s">
        <v>401</v>
      </c>
      <c r="J20" s="63" t="s">
        <v>401</v>
      </c>
      <c r="K20" s="64" t="s">
        <v>404</v>
      </c>
      <c r="L20" s="48" t="s">
        <v>403</v>
      </c>
    </row>
    <row r="21" customFormat="false" ht="15" hidden="false" customHeight="false" outlineLevel="0" collapsed="false">
      <c r="A21" s="72" t="n">
        <v>17</v>
      </c>
      <c r="B21" s="39" t="s">
        <v>302</v>
      </c>
      <c r="C21" s="73" t="s">
        <v>305</v>
      </c>
      <c r="D21" s="51" t="s">
        <v>515</v>
      </c>
      <c r="E21" s="50" t="s">
        <v>282</v>
      </c>
      <c r="F21" s="51" t="s">
        <v>293</v>
      </c>
      <c r="G21" s="74" t="s">
        <v>147</v>
      </c>
      <c r="H21" s="63" t="s">
        <v>401</v>
      </c>
      <c r="I21" s="64" t="s">
        <v>405</v>
      </c>
      <c r="J21" s="63" t="s">
        <v>401</v>
      </c>
      <c r="K21" s="64" t="s">
        <v>404</v>
      </c>
      <c r="L21" s="50" t="s">
        <v>406</v>
      </c>
    </row>
    <row r="22" customFormat="false" ht="15" hidden="false" customHeight="false" outlineLevel="0" collapsed="false">
      <c r="A22" s="72" t="n">
        <v>18</v>
      </c>
      <c r="B22" s="39" t="s">
        <v>302</v>
      </c>
      <c r="C22" s="73" t="s">
        <v>307</v>
      </c>
      <c r="D22" s="51" t="s">
        <v>515</v>
      </c>
      <c r="E22" s="50" t="s">
        <v>282</v>
      </c>
      <c r="F22" s="51" t="s">
        <v>293</v>
      </c>
      <c r="G22" s="74" t="s">
        <v>147</v>
      </c>
      <c r="H22" s="63" t="s">
        <v>401</v>
      </c>
      <c r="I22" s="64" t="s">
        <v>405</v>
      </c>
      <c r="J22" s="63" t="s">
        <v>401</v>
      </c>
      <c r="K22" s="64" t="s">
        <v>404</v>
      </c>
      <c r="L22" s="50" t="s">
        <v>406</v>
      </c>
    </row>
    <row r="23" customFormat="false" ht="15" hidden="false" customHeight="false" outlineLevel="0" collapsed="false">
      <c r="A23" s="72" t="n">
        <v>19</v>
      </c>
      <c r="B23" s="39" t="s">
        <v>309</v>
      </c>
      <c r="C23" s="73" t="s">
        <v>310</v>
      </c>
      <c r="D23" s="51" t="s">
        <v>515</v>
      </c>
      <c r="E23" s="48" t="s">
        <v>266</v>
      </c>
      <c r="F23" s="49" t="s">
        <v>267</v>
      </c>
      <c r="G23" s="74" t="s">
        <v>165</v>
      </c>
      <c r="H23" s="63" t="s">
        <v>401</v>
      </c>
      <c r="I23" s="63" t="s">
        <v>401</v>
      </c>
      <c r="J23" s="63" t="s">
        <v>401</v>
      </c>
      <c r="K23" s="63" t="s">
        <v>401</v>
      </c>
      <c r="L23" s="48" t="s">
        <v>403</v>
      </c>
    </row>
    <row r="24" customFormat="false" ht="15" hidden="false" customHeight="false" outlineLevel="0" collapsed="false">
      <c r="A24" s="72" t="n">
        <v>20</v>
      </c>
      <c r="B24" s="39" t="s">
        <v>309</v>
      </c>
      <c r="C24" s="73" t="s">
        <v>312</v>
      </c>
      <c r="D24" s="51" t="s">
        <v>515</v>
      </c>
      <c r="E24" s="50" t="s">
        <v>282</v>
      </c>
      <c r="F24" s="49" t="s">
        <v>267</v>
      </c>
      <c r="G24" s="74" t="s">
        <v>165</v>
      </c>
      <c r="H24" s="63" t="s">
        <v>401</v>
      </c>
      <c r="I24" s="63" t="s">
        <v>401</v>
      </c>
      <c r="J24" s="63" t="s">
        <v>401</v>
      </c>
      <c r="K24" s="64" t="s">
        <v>404</v>
      </c>
      <c r="L24" s="50" t="s">
        <v>406</v>
      </c>
    </row>
    <row r="25" customFormat="false" ht="15" hidden="false" customHeight="false" outlineLevel="0" collapsed="false">
      <c r="A25" s="72" t="n">
        <v>21</v>
      </c>
      <c r="B25" s="39" t="s">
        <v>516</v>
      </c>
      <c r="C25" s="73" t="s">
        <v>315</v>
      </c>
      <c r="D25" s="49" t="s">
        <v>511</v>
      </c>
      <c r="E25" s="48" t="s">
        <v>266</v>
      </c>
      <c r="F25" s="49" t="s">
        <v>267</v>
      </c>
      <c r="G25" s="74" t="s">
        <v>165</v>
      </c>
      <c r="H25" s="63" t="s">
        <v>401</v>
      </c>
      <c r="I25" s="63" t="s">
        <v>401</v>
      </c>
      <c r="J25" s="63" t="s">
        <v>401</v>
      </c>
      <c r="K25" s="63" t="s">
        <v>401</v>
      </c>
      <c r="L25" s="48" t="s">
        <v>403</v>
      </c>
    </row>
    <row r="26" customFormat="false" ht="15" hidden="false" customHeight="false" outlineLevel="0" collapsed="false">
      <c r="A26" s="72" t="n">
        <v>22</v>
      </c>
      <c r="B26" s="39" t="s">
        <v>516</v>
      </c>
      <c r="C26" s="73" t="s">
        <v>317</v>
      </c>
      <c r="D26" s="51" t="s">
        <v>515</v>
      </c>
      <c r="E26" s="50" t="s">
        <v>282</v>
      </c>
      <c r="F26" s="49" t="s">
        <v>267</v>
      </c>
      <c r="G26" s="74" t="s">
        <v>165</v>
      </c>
      <c r="H26" s="63" t="s">
        <v>401</v>
      </c>
      <c r="I26" s="64" t="s">
        <v>405</v>
      </c>
      <c r="J26" s="63" t="s">
        <v>401</v>
      </c>
      <c r="K26" s="64" t="s">
        <v>404</v>
      </c>
      <c r="L26" s="50" t="s">
        <v>406</v>
      </c>
    </row>
    <row r="27" customFormat="false" ht="15" hidden="false" customHeight="false" outlineLevel="0" collapsed="false">
      <c r="A27" s="72" t="n">
        <v>23</v>
      </c>
      <c r="B27" s="39" t="s">
        <v>319</v>
      </c>
      <c r="C27" s="73" t="s">
        <v>320</v>
      </c>
      <c r="D27" s="49" t="s">
        <v>511</v>
      </c>
      <c r="E27" s="48" t="s">
        <v>266</v>
      </c>
      <c r="F27" s="49" t="s">
        <v>267</v>
      </c>
      <c r="G27" s="74" t="s">
        <v>514</v>
      </c>
      <c r="H27" s="63" t="s">
        <v>401</v>
      </c>
      <c r="I27" s="63" t="s">
        <v>401</v>
      </c>
      <c r="J27" s="63" t="s">
        <v>401</v>
      </c>
      <c r="K27" s="63" t="s">
        <v>401</v>
      </c>
      <c r="L27" s="48" t="s">
        <v>403</v>
      </c>
    </row>
    <row r="28" customFormat="false" ht="15" hidden="false" customHeight="false" outlineLevel="0" collapsed="false">
      <c r="A28" s="72" t="n">
        <v>24</v>
      </c>
      <c r="B28" s="39" t="s">
        <v>319</v>
      </c>
      <c r="C28" s="73" t="s">
        <v>322</v>
      </c>
      <c r="D28" s="51" t="s">
        <v>515</v>
      </c>
      <c r="E28" s="41" t="s">
        <v>261</v>
      </c>
      <c r="F28" s="43" t="s">
        <v>263</v>
      </c>
      <c r="G28" s="74" t="s">
        <v>512</v>
      </c>
      <c r="H28" s="63" t="s">
        <v>401</v>
      </c>
      <c r="I28" s="63" t="s">
        <v>401</v>
      </c>
      <c r="J28" s="63" t="s">
        <v>401</v>
      </c>
      <c r="K28" s="63" t="s">
        <v>401</v>
      </c>
      <c r="L28" s="41" t="s">
        <v>402</v>
      </c>
    </row>
    <row r="29" customFormat="false" ht="15" hidden="false" customHeight="false" outlineLevel="0" collapsed="false">
      <c r="A29" s="72" t="n">
        <v>25</v>
      </c>
      <c r="B29" s="39" t="s">
        <v>319</v>
      </c>
      <c r="C29" s="73" t="s">
        <v>324</v>
      </c>
      <c r="D29" s="43" t="s">
        <v>513</v>
      </c>
      <c r="E29" s="41" t="s">
        <v>261</v>
      </c>
      <c r="F29" s="43" t="s">
        <v>263</v>
      </c>
      <c r="G29" s="74" t="s">
        <v>514</v>
      </c>
      <c r="H29" s="63" t="s">
        <v>401</v>
      </c>
      <c r="I29" s="63" t="s">
        <v>401</v>
      </c>
      <c r="J29" s="63" t="s">
        <v>401</v>
      </c>
      <c r="K29" s="63" t="s">
        <v>401</v>
      </c>
      <c r="L29" s="41" t="s">
        <v>402</v>
      </c>
    </row>
  </sheetData>
  <autoFilter ref="A4:L2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2026-06-12T12:50:34Z</dcterms:created>
  <dc:creator>openpyxl</dc:creator>
  <dc:description/>
  <dc:language>en-US</dc:language>
  <cp:lastModifiedBy/>
  <dcterms:modified xsi:type="dcterms:W3CDTF">2026-06-12T12:50:34Z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